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62f0c0a123276c7e/Desktop/"/>
    </mc:Choice>
  </mc:AlternateContent>
  <xr:revisionPtr revIDLastSave="1" documentId="8_{995E2828-899F-4B15-AC02-69B16D37A8D2}" xr6:coauthVersionLast="47" xr6:coauthVersionMax="47" xr10:uidLastSave="{17F75471-6048-4EA1-99E9-EB0E3936CD88}"/>
  <bookViews>
    <workbookView xWindow="-110" yWindow="-110" windowWidth="19420" windowHeight="10300" firstSheet="2" activeTab="7" xr2:uid="{346724B3-1C49-40AE-AA36-C77CF5D6DD09}"/>
  </bookViews>
  <sheets>
    <sheet name="Products by qty" sheetId="8" r:id="rId1"/>
    <sheet name="Order QTY" sheetId="10" r:id="rId2"/>
    <sheet name="popular products" sheetId="11" r:id="rId3"/>
    <sheet name="mapping" sheetId="12" r:id="rId4"/>
    <sheet name="Shipment" sheetId="15" r:id="rId5"/>
    <sheet name="Customer Satisfaction" sheetId="16" r:id="rId6"/>
    <sheet name="Data" sheetId="1" r:id="rId7"/>
    <sheet name="Dashboards" sheetId="7" r:id="rId8"/>
    <sheet name="pivots" sheetId="5" r:id="rId9"/>
    <sheet name="Questions &amp; KPIs" sheetId="2" r:id="rId10"/>
  </sheets>
  <definedNames>
    <definedName name="_xlchart.v5.0" hidden="1">mapping!$J$3:$K$3</definedName>
    <definedName name="_xlchart.v5.1" hidden="1">mapping!$J$4:$K$61</definedName>
    <definedName name="_xlchart.v5.10" hidden="1">mapping!$L$3</definedName>
    <definedName name="_xlchart.v5.11" hidden="1">mapping!$L$4:$L$61</definedName>
    <definedName name="_xlchart.v5.12" hidden="1">mapping!$J$3:$K$3</definedName>
    <definedName name="_xlchart.v5.13" hidden="1">mapping!$J$4:$K$61</definedName>
    <definedName name="_xlchart.v5.14" hidden="1">mapping!$L$3</definedName>
    <definedName name="_xlchart.v5.15" hidden="1">mapping!$L$4:$L$61</definedName>
    <definedName name="_xlchart.v5.2" hidden="1">mapping!$L$3</definedName>
    <definedName name="_xlchart.v5.3" hidden="1">mapping!$L$4:$L$61</definedName>
    <definedName name="_xlchart.v5.4" hidden="1">mapping!$F$3:$G$3</definedName>
    <definedName name="_xlchart.v5.5" hidden="1">mapping!$F$4:$G$61</definedName>
    <definedName name="_xlchart.v5.6" hidden="1">mapping!$H$3</definedName>
    <definedName name="_xlchart.v5.7" hidden="1">mapping!$H$4:$H$61</definedName>
    <definedName name="_xlchart.v5.8" hidden="1">mapping!$J$3:$K$3</definedName>
    <definedName name="_xlchart.v5.9" hidden="1">mapping!$J$4:$K$61</definedName>
    <definedName name="Slicer_Gender_Value">#N/A</definedName>
    <definedName name="Slicer_Order_Mode">#N/A</definedName>
  </definedNames>
  <calcPr calcId="191029"/>
  <pivotCaches>
    <pivotCache cacheId="1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 i="12" l="1"/>
  <c r="H6" i="12"/>
  <c r="H7" i="12"/>
  <c r="H8" i="12"/>
  <c r="G4" i="12"/>
  <c r="H4" i="12"/>
  <c r="G5" i="12"/>
  <c r="G6" i="12"/>
  <c r="G7" i="12"/>
  <c r="G8" i="12"/>
  <c r="G9" i="12"/>
  <c r="H9" i="12"/>
  <c r="G10" i="12"/>
  <c r="H10" i="12"/>
  <c r="G11" i="12"/>
  <c r="H11" i="12"/>
  <c r="G12" i="12"/>
  <c r="H12" i="12"/>
  <c r="G13" i="12"/>
  <c r="H13" i="12"/>
  <c r="G14" i="12"/>
  <c r="H14" i="12"/>
  <c r="G15" i="12"/>
  <c r="H15" i="12"/>
  <c r="G16" i="12"/>
  <c r="H16" i="12"/>
  <c r="G17" i="12"/>
  <c r="H17" i="12"/>
  <c r="G18" i="12"/>
  <c r="H18" i="12"/>
  <c r="G19" i="12"/>
  <c r="H19" i="12"/>
  <c r="G20" i="12"/>
  <c r="H20" i="12"/>
  <c r="G21" i="12"/>
  <c r="H21" i="12"/>
  <c r="G22" i="12"/>
  <c r="H22" i="12"/>
  <c r="G23" i="12"/>
  <c r="H23" i="12"/>
  <c r="G24" i="12"/>
  <c r="H24" i="12"/>
  <c r="G25" i="12"/>
  <c r="H25" i="12"/>
  <c r="G26" i="12"/>
  <c r="H26" i="12"/>
  <c r="G27" i="12"/>
  <c r="H27" i="12"/>
  <c r="G28" i="12"/>
  <c r="H28" i="12"/>
  <c r="G29" i="12"/>
  <c r="H29" i="12"/>
  <c r="G30" i="12"/>
  <c r="H30" i="12"/>
  <c r="G31" i="12"/>
  <c r="H31" i="12"/>
  <c r="G32" i="12"/>
  <c r="H32" i="12"/>
  <c r="G33" i="12"/>
  <c r="H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G59" i="12"/>
  <c r="H59" i="12"/>
  <c r="G60" i="12"/>
  <c r="H60" i="12"/>
  <c r="G61" i="12"/>
  <c r="H61" i="12"/>
  <c r="G62" i="12"/>
  <c r="H62" i="12"/>
  <c r="G63" i="12"/>
  <c r="H63" i="12"/>
  <c r="G64" i="12"/>
  <c r="H64"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5" i="12"/>
  <c r="F6" i="12"/>
  <c r="F7" i="12"/>
  <c r="F8" i="12"/>
  <c r="F9" i="12"/>
  <c r="F10" i="12"/>
  <c r="F11" i="12"/>
  <c r="F12" i="12"/>
  <c r="F13" i="12"/>
  <c r="F14" i="12"/>
  <c r="F15" i="12"/>
  <c r="F16" i="12"/>
  <c r="F17" i="12"/>
  <c r="F18" i="12"/>
  <c r="F19" i="12"/>
  <c r="F20" i="12"/>
  <c r="F21" i="12"/>
  <c r="F22" i="12"/>
  <c r="F23" i="12"/>
  <c r="F24" i="12"/>
  <c r="F25" i="12"/>
  <c r="F26" i="12"/>
  <c r="F4" i="12"/>
  <c r="L6" i="8"/>
  <c r="L7" i="8"/>
  <c r="L8" i="8"/>
  <c r="L9" i="8"/>
  <c r="L5" i="8"/>
  <c r="H9" i="8"/>
  <c r="I9" i="8"/>
  <c r="J9" i="8"/>
  <c r="K9" i="8"/>
  <c r="L4" i="8"/>
  <c r="J4" i="8"/>
  <c r="K4" i="8"/>
  <c r="I4" i="8"/>
  <c r="I5" i="8"/>
  <c r="J5" i="8"/>
  <c r="K5" i="8"/>
  <c r="I6" i="8"/>
  <c r="J6" i="8"/>
  <c r="K6" i="8"/>
  <c r="I7" i="8"/>
  <c r="J7" i="8"/>
  <c r="K7" i="8"/>
  <c r="I8" i="8"/>
  <c r="J8" i="8"/>
  <c r="K8" i="8"/>
  <c r="H6" i="8"/>
  <c r="H7" i="8"/>
  <c r="H8" i="8"/>
  <c r="H5" i="8"/>
  <c r="K5" i="5"/>
  <c r="J5" i="5"/>
  <c r="I5" i="5"/>
  <c r="H5" i="5"/>
  <c r="G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<sst xmlns="http://schemas.openxmlformats.org/spreadsheetml/2006/main" count="14769" uniqueCount="2554">
  <si>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</si>
  <si>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</si>
  <si>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</si>
  <si>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</si>
  <si>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</si>
  <si>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</si>
  <si>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</si>
  <si>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</si>
  <si>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</si>
  <si>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</si>
  <si>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</si>
  <si>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</si>
  <si>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</si>
  <si>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</si>
  <si>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</si>
  <si>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</si>
  <si>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</si>
  <si>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</si>
  <si>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</si>
  <si>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</si>
  <si>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</si>
  <si>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</si>
  <si>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</si>
  <si>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</si>
  <si>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</si>
  <si>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</si>
  <si>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</si>
  <si>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</si>
  <si>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</si>
  <si>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</si>
  <si>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</si>
  <si>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</si>
  <si>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</si>
  <si>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</si>
  <si>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</si>
  <si>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</si>
  <si>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</si>
  <si>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</si>
  <si>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</si>
  <si>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</si>
  <si>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</si>
  <si>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</si>
  <si>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</si>
  <si>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</si>
  <si>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</si>
  <si>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</si>
  <si>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</si>
  <si>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</si>
  <si>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</si>
  <si>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</si>
  <si>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</si>
  <si>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</si>
  <si>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</si>
  <si>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</si>
  <si>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</si>
  <si>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</si>
  <si>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</si>
  <si>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</si>
  <si>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</si>
  <si>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</si>
  <si>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</si>
  <si>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</si>
  <si>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</si>
  <si>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</si>
  <si>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</si>
  <si>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</si>
  <si>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</si>
  <si>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</si>
  <si>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</si>
  <si>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</si>
  <si>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</si>
  <si>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</si>
  <si>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</si>
  <si>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</si>
  <si>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</si>
  <si>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</si>
  <si>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</si>
  <si>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</si>
  <si>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</si>
  <si>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</si>
  <si>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</si>
  <si>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</si>
  <si>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</si>
  <si>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</si>
  <si>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</si>
  <si>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</si>
  <si>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</si>
  <si>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</si>
  <si>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</si>
  <si>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</si>
  <si>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</si>
  <si>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</si>
  <si>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</si>
  <si>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</si>
  <si>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</si>
  <si>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</si>
  <si>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</si>
  <si>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</si>
  <si>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</si>
  <si>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</si>
  <si>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</si>
  <si>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</si>
  <si>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</si>
  <si>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</si>
  <si>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</si>
  <si>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</si>
  <si>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</si>
  <si>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</si>
  <si>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</si>
  <si>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</si>
  <si>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</si>
  <si>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</si>
  <si>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</si>
  <si>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</si>
  <si>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</si>
  <si>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</si>
  <si>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</si>
  <si>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</si>
  <si>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</si>
  <si>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</si>
  <si>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</si>
  <si>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</si>
  <si>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</si>
  <si>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</si>
  <si>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</si>
  <si>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</si>
  <si>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</si>
  <si>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</si>
  <si>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</si>
  <si>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</si>
  <si>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</si>
  <si>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</si>
  <si>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</si>
  <si>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</si>
  <si>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</si>
  <si>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</si>
  <si>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</si>
  <si>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</si>
  <si>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</si>
  <si>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</si>
  <si>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</si>
  <si>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</si>
  <si>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</si>
  <si>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</si>
  <si>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</si>
  <si>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</si>
  <si>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</si>
  <si>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</si>
  <si>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</si>
  <si>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</si>
  <si>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</si>
  <si>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</si>
  <si>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</si>
  <si>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</si>
  <si>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</si>
  <si>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</si>
  <si>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</si>
  <si>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</si>
  <si>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</si>
  <si>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</si>
  <si>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</si>
  <si>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</si>
  <si>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</si>
  <si>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</si>
  <si>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</si>
  <si>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</si>
  <si>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</si>
  <si>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</si>
  <si>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</si>
  <si>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</si>
  <si>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</si>
  <si>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</si>
  <si>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</si>
  <si>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</si>
  <si>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</si>
  <si>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</si>
  <si>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</si>
  <si>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</si>
  <si>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</si>
  <si>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</si>
  <si>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</si>
  <si>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</si>
  <si>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</si>
  <si>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</si>
  <si>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</si>
  <si>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</si>
  <si>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</si>
  <si>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</si>
  <si>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</si>
  <si>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</si>
  <si>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</si>
  <si>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</si>
  <si>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</si>
  <si>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</si>
  <si>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</si>
  <si>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</si>
  <si>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</si>
  <si>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</si>
  <si>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</si>
  <si>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</si>
  <si>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</si>
  <si>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</si>
  <si>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</si>
  <si>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</si>
  <si>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</si>
  <si>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</si>
  <si>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</si>
  <si>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</si>
  <si>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</si>
  <si>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</si>
  <si>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</si>
  <si>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</si>
  <si>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</si>
  <si>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</si>
  <si>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</si>
  <si>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</si>
  <si>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</si>
  <si>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</si>
  <si>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</si>
  <si>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</si>
  <si>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</si>
  <si>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</si>
  <si>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</si>
  <si>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</si>
  <si>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</si>
  <si>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</si>
  <si>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</si>
  <si>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</si>
  <si>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</si>
  <si>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</si>
  <si>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</si>
  <si>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</si>
  <si>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</si>
  <si>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</si>
  <si>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</si>
  <si>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</si>
  <si>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</si>
  <si>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</si>
  <si>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</si>
  <si>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</si>
  <si>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</si>
  <si>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</si>
  <si>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</si>
  <si>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</si>
  <si>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</si>
  <si>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</si>
  <si>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</si>
  <si>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</si>
  <si>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</si>
  <si>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</si>
  <si>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</si>
  <si>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</si>
  <si>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</si>
  <si>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</si>
  <si>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</si>
  <si>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</si>
  <si>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</si>
  <si>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</si>
  <si>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</si>
  <si>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</si>
  <si>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</si>
  <si>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</si>
  <si>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</si>
  <si>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</si>
  <si>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</si>
  <si>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</si>
  <si>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</si>
  <si>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</si>
  <si>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</si>
  <si>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</si>
  <si>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</si>
  <si>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</si>
  <si>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</si>
  <si>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</si>
  <si>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</si>
  <si>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</si>
  <si>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</si>
  <si>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</si>
  <si>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</si>
  <si>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</si>
  <si>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</si>
  <si>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</si>
  <si>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</si>
  <si>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</si>
  <si>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</si>
  <si>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</si>
  <si>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</si>
  <si>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</si>
  <si>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</si>
  <si>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</si>
  <si>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</si>
  <si>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</si>
  <si>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</si>
  <si>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</si>
  <si>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</si>
  <si>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</si>
  <si>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</si>
  <si>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</si>
  <si>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</si>
  <si>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</si>
  <si>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</si>
  <si>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</si>
  <si>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</si>
  <si>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</si>
  <si>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</si>
  <si>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</si>
  <si>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</si>
  <si>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</si>
  <si>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</si>
  <si>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</si>
  <si>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</si>
  <si>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</si>
  <si>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</si>
  <si>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</si>
  <si>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</si>
  <si>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</si>
  <si>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</si>
  <si>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</si>
  <si>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</si>
  <si>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</si>
  <si>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</si>
  <si>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</si>
  <si>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</si>
  <si>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</si>
  <si>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</si>
  <si>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</si>
  <si>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</si>
  <si>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</si>
  <si>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</si>
  <si>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</si>
  <si>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</si>
  <si>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</si>
  <si>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</si>
  <si>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</si>
  <si>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</si>
  <si>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</si>
  <si>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</si>
  <si>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</si>
  <si>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</si>
  <si>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</si>
  <si>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</si>
  <si>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</si>
  <si>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</si>
  <si>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</si>
  <si>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</si>
  <si>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</si>
  <si>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</si>
  <si>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</si>
  <si>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</si>
  <si>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</si>
  <si>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</si>
  <si>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</si>
  <si>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</si>
  <si>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</si>
  <si>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</si>
  <si>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</si>
  <si>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</si>
  <si>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</si>
  <si>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</si>
  <si>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</si>
  <si>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</si>
  <si>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</si>
  <si>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</si>
  <si>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</si>
  <si>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</si>
  <si>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</si>
  <si>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</si>
  <si>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</si>
  <si>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</si>
  <si>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</si>
  <si>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</si>
  <si>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</si>
  <si>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</si>
  <si>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</si>
  <si>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</si>
  <si>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</si>
  <si>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</si>
  <si>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</si>
  <si>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</si>
  <si>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</si>
  <si>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</si>
  <si>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</si>
  <si>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</si>
  <si>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</si>
  <si>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</si>
  <si>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</si>
  <si>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</si>
  <si>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</si>
  <si>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</si>
  <si>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</si>
  <si>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</si>
  <si>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</si>
  <si>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</si>
  <si>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</si>
  <si>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</si>
  <si>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</si>
  <si>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</si>
  <si>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</si>
  <si>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</si>
  <si>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</si>
  <si>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</si>
  <si>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</si>
  <si>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</si>
  <si>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</si>
  <si>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</si>
  <si>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</si>
  <si>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</si>
  <si>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</si>
  <si>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</si>
  <si>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</si>
  <si>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</si>
  <si>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</si>
  <si>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</si>
  <si>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</si>
  <si>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</si>
  <si>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</si>
  <si>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</si>
  <si>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</si>
  <si>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</si>
  <si>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</si>
  <si>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</si>
  <si>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</si>
  <si>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</si>
  <si>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</si>
  <si>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</si>
  <si>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</si>
  <si>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</si>
  <si>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</si>
  <si>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</si>
  <si>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</si>
  <si>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</si>
  <si>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</si>
  <si>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</si>
  <si>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</si>
  <si>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</si>
  <si>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</si>
  <si>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</si>
  <si>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</si>
  <si>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</si>
  <si>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</si>
  <si>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</si>
  <si>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</si>
  <si>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</si>
  <si>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</si>
  <si>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</si>
  <si>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</si>
  <si>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</si>
  <si>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</si>
  <si>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</si>
  <si>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</si>
  <si>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</si>
  <si>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</si>
  <si>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</si>
  <si>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</si>
  <si>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</si>
  <si>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</si>
  <si>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</si>
  <si>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</si>
  <si>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</si>
  <si>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</si>
  <si>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</si>
  <si>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</si>
  <si>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</si>
  <si>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</si>
  <si>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</si>
  <si>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</si>
  <si>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</si>
  <si>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</si>
  <si>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</si>
  <si>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</si>
  <si>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</si>
  <si>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</si>
  <si>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</si>
  <si>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</si>
  <si>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</si>
  <si>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</si>
  <si>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</si>
  <si>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</si>
  <si>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</si>
  <si>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</si>
  <si>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</si>
  <si>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</si>
  <si>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</si>
  <si>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</si>
  <si>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</si>
  <si>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</si>
  <si>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</si>
  <si>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</si>
  <si>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</si>
  <si>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</si>
  <si>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</si>
  <si>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</si>
  <si>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</si>
  <si>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</si>
  <si>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</si>
  <si>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</si>
  <si>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</si>
  <si>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</si>
  <si>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</si>
  <si>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</si>
  <si>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</si>
  <si>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</si>
  <si>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</si>
  <si>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</si>
  <si>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</si>
  <si>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</si>
  <si>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</si>
  <si>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</si>
  <si>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</si>
  <si>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</si>
  <si>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</si>
  <si>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</si>
  <si>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</si>
  <si>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</si>
  <si>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</si>
  <si>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</si>
  <si>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</si>
  <si>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</si>
  <si>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</si>
  <si>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</si>
  <si>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</si>
  <si>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</si>
  <si>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</si>
  <si>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</si>
  <si>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</si>
  <si>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</si>
  <si>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</si>
  <si>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</si>
  <si>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</si>
  <si>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</si>
  <si>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</si>
  <si>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</si>
  <si>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</si>
  <si>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</si>
  <si>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</si>
  <si>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</si>
  <si>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</si>
  <si>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</si>
  <si>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</si>
  <si>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</si>
  <si>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</si>
  <si>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</si>
  <si>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</si>
  <si>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</si>
  <si>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</si>
  <si>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</si>
  <si>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</si>
  <si>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</si>
  <si>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</si>
  <si>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</si>
  <si>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</si>
  <si>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</si>
  <si>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</si>
  <si>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</si>
  <si>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</si>
  <si>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</si>
  <si>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</si>
  <si>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</si>
  <si>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</si>
  <si>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</si>
  <si>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</si>
  <si>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</si>
  <si>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</si>
  <si>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</si>
  <si>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</si>
  <si>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</si>
  <si>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</si>
  <si>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</si>
  <si>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</si>
  <si>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</si>
  <si>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</si>
  <si>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</si>
  <si>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</si>
  <si>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</si>
  <si>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</si>
  <si>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</si>
  <si>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</si>
  <si>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</si>
  <si>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</si>
  <si>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</si>
  <si>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</si>
  <si>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</si>
  <si>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</si>
  <si>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</si>
  <si>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</si>
  <si>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</si>
  <si>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</si>
  <si>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</si>
  <si>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</si>
  <si>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</si>
  <si>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</si>
  <si>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</si>
  <si>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</si>
  <si>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</si>
  <si>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</si>
  <si>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</si>
  <si>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</si>
  <si>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</si>
  <si>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</si>
  <si>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</si>
  <si>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</si>
  <si>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</si>
  <si>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</si>
  <si>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</si>
  <si>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</si>
  <si>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</si>
  <si>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</si>
  <si>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</si>
  <si>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</si>
  <si>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</si>
  <si>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</si>
  <si>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</si>
  <si>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</si>
  <si>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</si>
  <si>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</si>
  <si>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</si>
  <si>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</si>
  <si>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</si>
  <si>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</si>
  <si>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</si>
  <si>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</si>
  <si>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</si>
  <si>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</si>
  <si>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</si>
  <si>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</si>
  <si>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</si>
  <si>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</si>
  <si>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</si>
  <si>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</si>
  <si>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</si>
  <si>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</si>
  <si>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</si>
  <si>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</si>
  <si>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</si>
  <si>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</si>
  <si>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</si>
  <si>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</si>
  <si>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</si>
  <si>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</si>
  <si>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</si>
  <si>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</si>
  <si>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</si>
  <si>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</si>
  <si>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</si>
  <si>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</si>
  <si>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</si>
  <si>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</si>
  <si>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</si>
  <si>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</si>
  <si>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</si>
  <si>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</si>
  <si>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</si>
  <si>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</si>
  <si>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</si>
  <si>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</si>
  <si>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</si>
  <si>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</si>
  <si>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</si>
  <si>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</si>
  <si>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</si>
  <si>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</si>
  <si>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</si>
  <si>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</si>
  <si>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</si>
  <si>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</si>
  <si>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</si>
  <si>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</si>
  <si>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</si>
  <si>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</si>
  <si>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</si>
  <si>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</si>
  <si>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</si>
  <si>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</si>
  <si>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</si>
  <si>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</si>
  <si>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</si>
  <si>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</si>
  <si>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</si>
  <si>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</si>
  <si>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</si>
  <si>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</si>
  <si>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</si>
  <si>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</si>
  <si>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</si>
  <si>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</si>
  <si>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</si>
  <si>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</si>
  <si>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</si>
  <si>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</si>
  <si>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</si>
  <si>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</si>
  <si>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</si>
  <si>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</si>
  <si>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</si>
  <si>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</si>
  <si>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</si>
  <si>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</si>
  <si>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</si>
  <si>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</si>
  <si>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</si>
  <si>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</si>
  <si>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</si>
  <si>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</si>
  <si>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</si>
  <si>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</si>
  <si>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</si>
  <si>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</si>
  <si>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</si>
  <si>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</si>
  <si>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</si>
  <si>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</si>
  <si>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</si>
  <si>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</si>
  <si>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</si>
  <si>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</si>
  <si>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</si>
  <si>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</si>
  <si>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</si>
  <si>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</si>
  <si>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</si>
  <si>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</si>
  <si>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</si>
  <si>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</si>
  <si>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</si>
  <si>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</si>
  <si>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</si>
  <si>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</si>
  <si>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</si>
  <si>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</si>
  <si>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</si>
  <si>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</si>
  <si>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</si>
  <si>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</si>
  <si>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</si>
  <si>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</si>
  <si>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</si>
  <si>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</si>
  <si>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</si>
  <si>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</si>
  <si>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</si>
  <si>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</si>
  <si>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</si>
  <si>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</si>
  <si>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</si>
  <si>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</si>
  <si>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</si>
  <si>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</si>
  <si>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</si>
  <si>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</si>
  <si>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</si>
  <si>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</si>
  <si>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</si>
  <si>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</si>
  <si>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</si>
  <si>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</si>
  <si>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</si>
  <si>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</si>
  <si>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</si>
  <si>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</si>
  <si>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</si>
  <si>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</si>
  <si>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</si>
  <si>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</si>
  <si>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</si>
  <si>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</si>
  <si>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</si>
  <si>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</si>
  <si>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</si>
  <si>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</si>
  <si>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</si>
  <si>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</si>
  <si>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</si>
  <si>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</si>
  <si>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</si>
  <si>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</si>
  <si>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</si>
  <si>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</si>
  <si>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</si>
  <si>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</si>
  <si>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</si>
  <si>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</si>
  <si>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</si>
  <si>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</si>
  <si>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</si>
  <si>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</si>
  <si>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</si>
  <si>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</si>
  <si>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</si>
  <si>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</si>
  <si>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</si>
  <si>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</si>
  <si>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</si>
  <si>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</si>
  <si>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</si>
  <si>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</si>
  <si>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</si>
  <si>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</si>
  <si>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</si>
  <si>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</si>
  <si>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</si>
  <si>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</si>
  <si>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</si>
  <si>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</si>
  <si>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</si>
  <si>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</si>
  <si>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</si>
  <si>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</si>
  <si>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</si>
  <si>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</si>
  <si>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</si>
  <si>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</si>
  <si>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</si>
  <si>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</si>
  <si>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</si>
  <si>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</si>
  <si>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</si>
  <si>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</si>
  <si>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</si>
  <si>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</si>
  <si>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</si>
  <si>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</si>
  <si>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</si>
  <si>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</si>
  <si>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</si>
  <si>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</si>
  <si>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</si>
  <si>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</si>
  <si>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</si>
  <si>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</si>
  <si>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</si>
  <si>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</si>
  <si>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</si>
  <si>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</si>
  <si>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</si>
  <si>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</si>
  <si>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</si>
  <si>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</si>
  <si>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</si>
  <si>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</si>
  <si>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</si>
  <si>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</si>
  <si>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</si>
  <si>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</si>
  <si>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</si>
  <si>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</si>
  <si>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</si>
  <si>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</si>
  <si>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</si>
  <si>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</si>
  <si>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</si>
  <si>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</si>
  <si>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</si>
  <si>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</si>
  <si>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</si>
  <si>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</si>
  <si>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</si>
  <si>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</si>
  <si>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</si>
  <si>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</si>
  <si>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</si>
  <si>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</si>
  <si>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</si>
  <si>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</si>
  <si>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</si>
  <si>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</si>
  <si>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</si>
  <si>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</si>
  <si>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</si>
  <si>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</si>
  <si>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</si>
  <si>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</si>
  <si>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</si>
  <si>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</si>
  <si>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</si>
  <si>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</si>
  <si>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</si>
  <si>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</si>
  <si>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</si>
  <si>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</si>
  <si>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</si>
  <si>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</si>
  <si>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</si>
  <si>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</si>
  <si>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</si>
  <si>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</si>
  <si>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</si>
  <si>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</si>
  <si>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</si>
  <si>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</si>
  <si>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</si>
  <si>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</si>
  <si>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</si>
  <si>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</si>
  <si>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</si>
  <si>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</si>
  <si>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</si>
  <si>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</si>
  <si>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</si>
  <si>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</si>
  <si>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</si>
  <si>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</si>
  <si>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</si>
  <si>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</si>
  <si>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</si>
  <si>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</si>
  <si>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</si>
  <si>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</si>
  <si>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</si>
  <si>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</si>
  <si>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</si>
  <si>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</si>
  <si>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</si>
  <si>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</si>
  <si>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</si>
  <si>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</si>
  <si>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</si>
  <si>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</si>
  <si>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</si>
  <si>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</si>
  <si>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</si>
  <si>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</si>
  <si>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</si>
  <si>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</si>
  <si>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</si>
  <si>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</si>
  <si>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</si>
  <si>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</si>
  <si>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</si>
  <si>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</si>
  <si>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</si>
  <si>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</si>
  <si>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</si>
  <si>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</si>
  <si>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</si>
  <si>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</si>
  <si>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</si>
  <si>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</si>
  <si>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</si>
  <si>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</si>
  <si>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</si>
  <si>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</si>
  <si>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</si>
  <si>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</si>
  <si>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</si>
  <si>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</si>
  <si>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</si>
  <si>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</si>
  <si>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</si>
  <si>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</si>
  <si>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</si>
  <si>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</si>
  <si>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</si>
  <si>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</si>
  <si>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</si>
  <si>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</si>
  <si>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</si>
  <si>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</si>
  <si>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</si>
  <si>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</si>
  <si>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</si>
  <si>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</si>
  <si>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</si>
  <si>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</si>
  <si>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</si>
  <si>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</si>
  <si>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</si>
  <si>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</si>
  <si>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</si>
  <si>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</si>
  <si>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</si>
  <si>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</si>
  <si>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</si>
  <si>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</si>
  <si>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</si>
  <si>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</si>
  <si>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</si>
  <si>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</si>
  <si>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</si>
  <si>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</si>
  <si>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</si>
  <si>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</si>
  <si>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</si>
  <si>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</si>
  <si>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</si>
  <si>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</si>
  <si>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</si>
  <si>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</si>
  <si>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</si>
  <si>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</si>
  <si>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</si>
  <si>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</si>
  <si>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</si>
  <si>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</si>
  <si>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</si>
  <si>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</si>
  <si>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</si>
  <si>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</si>
  <si>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</si>
  <si>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</si>
  <si>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</si>
  <si>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</si>
  <si>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</si>
  <si>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</si>
  <si>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</si>
  <si>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</si>
  <si>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</si>
  <si>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</si>
  <si>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</si>
  <si>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</si>
  <si>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</si>
  <si>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</si>
  <si>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</si>
  <si>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</si>
  <si>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</si>
  <si>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</si>
  <si>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</si>
  <si>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</si>
  <si>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</si>
  <si>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</si>
  <si>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</si>
  <si>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</si>
  <si>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</si>
  <si>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</si>
  <si>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</si>
  <si>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</si>
  <si>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</si>
  <si>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</si>
  <si>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</si>
  <si>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</si>
  <si>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</si>
  <si>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</si>
  <si>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</si>
  <si>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</si>
  <si>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</si>
  <si>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</si>
  <si>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</si>
  <si>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</si>
  <si>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</si>
  <si>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</si>
  <si>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</si>
  <si>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</si>
  <si>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</si>
  <si>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</si>
  <si>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</si>
  <si>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</si>
  <si>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</si>
  <si>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</si>
  <si>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</si>
  <si>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</si>
  <si>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</si>
  <si>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</si>
  <si>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</si>
  <si>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</si>
  <si>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</si>
  <si>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</si>
  <si>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</si>
  <si>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</si>
  <si>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</si>
  <si>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</si>
  <si>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</si>
  <si>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</si>
  <si>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</si>
  <si>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</si>
  <si>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</si>
  <si>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</si>
  <si>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</si>
  <si>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</si>
  <si>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</si>
  <si>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</si>
  <si>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</si>
  <si>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</si>
  <si>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</si>
  <si>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</si>
  <si>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</si>
  <si>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</si>
  <si>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</si>
  <si>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</si>
  <si>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</si>
  <si>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</si>
  <si>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</si>
  <si>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</si>
  <si>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</si>
  <si>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</si>
  <si>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</si>
  <si>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</si>
  <si>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</si>
  <si>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</si>
  <si>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</si>
  <si>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</si>
  <si>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</si>
  <si>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</si>
  <si>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</si>
  <si>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</si>
  <si>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</si>
  <si>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</si>
  <si>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</si>
  <si>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</si>
  <si>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</si>
  <si>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</si>
  <si>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</si>
  <si>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</si>
  <si>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</si>
  <si>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</si>
  <si>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</si>
  <si>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</si>
  <si>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</si>
  <si>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</si>
  <si>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</si>
  <si>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</si>
  <si>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</si>
  <si>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</si>
  <si>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</si>
  <si>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</si>
  <si>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</si>
  <si>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</si>
  <si>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</si>
  <si>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</si>
  <si>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</si>
  <si>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</si>
  <si>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</si>
  <si>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</si>
  <si>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</si>
  <si>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</si>
  <si>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</si>
  <si>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</si>
  <si>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</si>
  <si>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</si>
  <si>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</si>
  <si>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</si>
  <si>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</si>
  <si>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</si>
  <si>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</si>
  <si>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</si>
  <si>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</si>
  <si>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</si>
  <si>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</si>
  <si>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</si>
  <si>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</si>
  <si>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</si>
  <si>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</si>
  <si>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</si>
  <si>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</si>
  <si>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</si>
  <si>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</si>
  <si>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</si>
  <si>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</si>
  <si>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</si>
  <si>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</si>
  <si>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</si>
  <si>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</si>
  <si>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</si>
  <si>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</si>
  <si>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</si>
  <si>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</si>
  <si>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</si>
  <si>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</si>
  <si>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</si>
  <si>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</si>
  <si>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</si>
  <si>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</si>
  <si>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</si>
  <si>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</si>
  <si>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</si>
  <si>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</si>
  <si>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</si>
  <si>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</si>
  <si>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</si>
  <si>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</si>
  <si>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</si>
  <si>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</si>
  <si>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</si>
  <si>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</si>
  <si>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</si>
  <si>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</si>
  <si>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</si>
  <si>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</si>
  <si>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</si>
  <si>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</si>
  <si>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</si>
  <si>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</si>
  <si>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</si>
  <si>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</si>
  <si>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</si>
  <si>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</si>
  <si>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</si>
  <si>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</si>
  <si>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</si>
  <si>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</si>
  <si>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</si>
  <si>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</si>
  <si>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</si>
  <si>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</si>
  <si>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</si>
  <si>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</si>
  <si>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</si>
  <si>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</si>
  <si>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</si>
  <si>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</si>
  <si>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</si>
  <si>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</si>
  <si>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</si>
  <si>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</si>
  <si>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</si>
  <si>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</si>
  <si>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</si>
  <si>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</si>
  <si>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</si>
  <si>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</si>
  <si>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</si>
  <si>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</si>
  <si>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</si>
  <si>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</si>
  <si>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</si>
  <si>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</si>
  <si>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</si>
  <si>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</si>
  <si>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</si>
  <si>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</si>
  <si>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</si>
  <si>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</si>
  <si>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</si>
  <si>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</si>
  <si>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</si>
  <si>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</si>
  <si>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</si>
  <si>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</si>
  <si>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</si>
  <si>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</si>
  <si>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</si>
  <si>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</si>
  <si>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</si>
  <si>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</si>
  <si>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</si>
  <si>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</si>
  <si>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</si>
  <si>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</si>
  <si>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</si>
  <si>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</si>
  <si>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</si>
  <si>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</si>
  <si>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</si>
  <si>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</si>
  <si>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</si>
  <si>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</si>
  <si>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</si>
  <si>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</si>
  <si>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</si>
  <si>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</si>
  <si>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</si>
  <si>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</si>
  <si>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</si>
  <si>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</si>
  <si>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</si>
  <si>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</si>
  <si>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</si>
  <si>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</si>
  <si>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</si>
  <si>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</si>
  <si>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</si>
  <si>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</si>
  <si>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</si>
  <si>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</si>
  <si>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</si>
  <si>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</si>
  <si>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</si>
  <si>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</si>
  <si>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</si>
  <si>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</si>
  <si>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</si>
  <si>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</si>
  <si>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</si>
  <si>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</si>
  <si>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</si>
  <si>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</si>
  <si>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</si>
  <si>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</si>
  <si>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</si>
  <si>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</si>
  <si>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</si>
  <si>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</si>
  <si>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</si>
  <si>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</si>
  <si>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</si>
  <si>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</si>
  <si>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</si>
  <si>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</si>
  <si>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</si>
  <si>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</si>
  <si>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</si>
  <si>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</si>
  <si>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</si>
  <si>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</si>
  <si>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</si>
  <si>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</si>
  <si>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</si>
  <si>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</si>
  <si>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</si>
  <si>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</si>
  <si>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</si>
  <si>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</si>
  <si>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</si>
  <si>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</si>
  <si>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</si>
  <si>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</si>
  <si>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</si>
  <si>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</si>
  <si>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</si>
  <si>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</si>
  <si>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</si>
  <si>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</si>
  <si>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</si>
  <si>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</si>
  <si>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</si>
  <si>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</si>
  <si>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</si>
  <si>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</si>
  <si>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</si>
  <si>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</si>
  <si>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</si>
  <si>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</si>
  <si>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</si>
  <si>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</si>
  <si>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</si>
  <si>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</si>
  <si>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</si>
  <si>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</si>
  <si>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</si>
  <si>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</si>
  <si>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</si>
  <si>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</si>
  <si>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</si>
  <si>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</si>
  <si>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</si>
  <si>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</si>
  <si>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</si>
  <si>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</si>
  <si>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</si>
  <si>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</si>
  <si>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</si>
  <si>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</si>
  <si>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</si>
  <si>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</si>
  <si>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</si>
  <si>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</si>
  <si>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</si>
  <si>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</si>
  <si>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</si>
  <si>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</si>
  <si>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</si>
  <si>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</si>
  <si>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</si>
  <si>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</si>
  <si>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</si>
  <si>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</si>
  <si>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</si>
  <si>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</si>
  <si>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</si>
  <si>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</si>
  <si>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</si>
  <si>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</si>
  <si>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</si>
  <si>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</si>
  <si>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</si>
  <si>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</si>
  <si>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</si>
  <si>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</si>
  <si>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</si>
  <si>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</si>
  <si>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</si>
  <si>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</si>
  <si>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</si>
  <si>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</si>
  <si>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</si>
  <si>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</si>
  <si>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</si>
  <si>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</si>
  <si>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</si>
  <si>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</si>
  <si>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</si>
  <si>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</si>
  <si>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</si>
  <si>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</si>
  <si>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</si>
  <si>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</si>
  <si>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</si>
  <si>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</si>
  <si>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</si>
  <si>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</si>
  <si>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</si>
  <si>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</si>
  <si>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</si>
  <si>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</si>
  <si>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</si>
  <si>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</si>
  <si>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</si>
  <si>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</si>
  <si>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</si>
  <si>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</si>
  <si>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</si>
  <si>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</si>
  <si>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</si>
  <si>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</si>
  <si>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</si>
  <si>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</si>
  <si>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</si>
  <si>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</si>
  <si>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</si>
  <si>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</si>
  <si>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</si>
  <si>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</si>
  <si>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</si>
  <si>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</si>
  <si>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</si>
  <si>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</si>
  <si>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</si>
  <si>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</si>
  <si>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</si>
  <si>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</si>
  <si>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</si>
  <si>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</si>
  <si>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</si>
  <si>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</si>
  <si>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</si>
  <si>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</si>
  <si>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</si>
  <si>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</si>
  <si>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</si>
  <si>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</si>
  <si>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</si>
  <si>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</si>
  <si>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</si>
  <si>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</si>
  <si>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</si>
  <si>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</si>
  <si>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</si>
  <si>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</si>
  <si>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</si>
  <si>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</si>
  <si>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</si>
  <si>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</si>
  <si>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</si>
  <si>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</si>
  <si>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</si>
  <si>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</si>
  <si>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</si>
  <si>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</si>
  <si>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</si>
  <si>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</si>
  <si>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</si>
  <si>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</si>
  <si>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</si>
  <si>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</si>
  <si>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</si>
  <si>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</si>
  <si>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</si>
  <si>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</si>
  <si>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</si>
  <si>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</si>
  <si>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</si>
  <si>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</si>
  <si>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</si>
  <si>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</si>
  <si>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</si>
  <si>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</si>
  <si>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</si>
  <si>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</si>
  <si>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</si>
  <si>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</si>
  <si>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</si>
  <si>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</si>
  <si>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</si>
  <si>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</si>
  <si>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</si>
  <si>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</si>
  <si>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</si>
  <si>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</si>
  <si>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</si>
  <si>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</si>
  <si>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</si>
  <si>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</si>
  <si>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</si>
  <si>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</si>
  <si>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</si>
  <si>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</si>
  <si>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</si>
  <si>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</si>
  <si>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</si>
  <si>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</si>
  <si>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</si>
  <si>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</si>
  <si>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</si>
  <si>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</si>
  <si>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</si>
  <si>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</si>
  <si>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</si>
  <si>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</si>
  <si>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</si>
  <si>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</si>
  <si>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</si>
  <si>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</si>
  <si>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</si>
  <si>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</si>
  <si>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</si>
  <si>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</si>
  <si>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</si>
  <si>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</si>
  <si>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</si>
  <si>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</si>
  <si>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</si>
  <si>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</si>
  <si>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</si>
  <si>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</si>
  <si>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</si>
  <si>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</si>
  <si>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</si>
  <si>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</si>
  <si>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</si>
  <si>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</si>
  <si>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</si>
  <si>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</si>
  <si>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</si>
  <si>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</si>
  <si>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</si>
  <si>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</si>
  <si>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</si>
  <si>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</si>
  <si>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</si>
  <si>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</si>
  <si>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</si>
  <si>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</si>
  <si>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</si>
  <si>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</si>
  <si>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</si>
  <si>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</si>
  <si>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</si>
  <si>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</si>
  <si>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</si>
  <si>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</si>
  <si>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</si>
  <si>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</si>
  <si>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</si>
  <si>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</si>
  <si>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</si>
  <si>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</si>
  <si>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</si>
  <si>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</si>
  <si>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</si>
  <si>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</si>
  <si>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</si>
  <si>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</si>
  <si>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</si>
  <si>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</si>
  <si>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</si>
  <si>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</si>
  <si>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</si>
  <si>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</si>
  <si>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</si>
  <si>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</si>
  <si>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</si>
  <si>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</si>
  <si>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</si>
  <si>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</si>
  <si>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</si>
  <si>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</si>
  <si>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</si>
  <si>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</si>
  <si>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</si>
  <si>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</si>
  <si>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</si>
  <si>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</si>
  <si>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</si>
  <si>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</si>
  <si>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</si>
  <si>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</si>
  <si>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</si>
  <si>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</si>
  <si>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</si>
  <si>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</si>
  <si>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</si>
  <si>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</si>
  <si>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</si>
  <si>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</si>
  <si>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</si>
  <si>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</si>
  <si>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</si>
  <si>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</si>
  <si>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</si>
  <si>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</si>
  <si>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</si>
  <si>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</si>
  <si>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</si>
  <si>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</si>
  <si>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</si>
  <si>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</si>
  <si>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</si>
  <si>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</si>
  <si>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</si>
  <si>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</si>
  <si>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</si>
  <si>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</si>
  <si>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</si>
  <si>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</si>
  <si>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</si>
  <si>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</si>
  <si>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</si>
  <si>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</si>
  <si>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</si>
  <si>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</si>
  <si>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</si>
  <si>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</si>
  <si>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</si>
  <si>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</si>
  <si>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</si>
  <si>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</si>
  <si>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</si>
  <si>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</si>
  <si>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</si>
  <si>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</si>
  <si>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</si>
  <si>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</si>
  <si>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</si>
  <si>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</si>
  <si>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</si>
  <si>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</si>
  <si>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</si>
  <si>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</si>
  <si>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</si>
  <si>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</si>
  <si>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</si>
  <si>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</si>
  <si>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</si>
  <si>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</si>
  <si>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</si>
  <si>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</si>
  <si>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</si>
  <si>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</si>
  <si>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</si>
  <si>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</si>
  <si>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</si>
  <si>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</si>
  <si>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</si>
  <si>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</si>
  <si>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</si>
  <si>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</si>
  <si>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</si>
  <si>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</si>
  <si>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</si>
  <si>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</si>
  <si>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</si>
  <si>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</si>
  <si>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</si>
  <si>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</si>
  <si>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</si>
  <si>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</si>
  <si>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</si>
  <si>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</si>
  <si>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</si>
  <si>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</si>
  <si>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</si>
  <si>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</si>
  <si>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</si>
  <si>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</si>
  <si>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</si>
  <si>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</si>
  <si>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</si>
  <si>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</si>
  <si>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</si>
  <si>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</si>
  <si>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</si>
  <si>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</si>
  <si>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</si>
  <si>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</si>
  <si>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</si>
  <si>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</si>
  <si>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</si>
  <si>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</si>
  <si>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</si>
  <si>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</si>
  <si>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</si>
  <si>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</si>
  <si>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</si>
  <si>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</si>
  <si>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</si>
  <si>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</si>
  <si>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</si>
  <si>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</si>
  <si>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</si>
  <si>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</si>
  <si>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</si>
  <si>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</si>
  <si>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</si>
  <si>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</si>
  <si>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</si>
  <si>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</si>
  <si>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</si>
  <si>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</si>
  <si>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</si>
  <si>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</si>
  <si>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</si>
  <si>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</si>
  <si>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</si>
  <si>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</si>
  <si>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</si>
  <si>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</si>
  <si>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</si>
  <si>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</si>
  <si>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</si>
  <si>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</si>
  <si>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</si>
  <si>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</si>
  <si>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</si>
  <si>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</si>
  <si>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</si>
  <si>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</si>
  <si>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</si>
  <si>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</si>
  <si>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</si>
  <si>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</si>
  <si>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</si>
  <si>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</si>
  <si>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</si>
  <si>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</si>
  <si>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</si>
  <si>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</si>
  <si>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</si>
  <si>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</si>
  <si>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</si>
  <si>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</si>
  <si>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</si>
  <si>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</si>
  <si>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</si>
  <si>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</si>
  <si>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</si>
  <si>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</si>
  <si>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</si>
  <si>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</si>
  <si>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</si>
  <si>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</si>
  <si>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</si>
  <si>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</si>
  <si>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</si>
  <si>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</si>
  <si>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</si>
  <si>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</si>
  <si>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</si>
  <si>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</si>
  <si>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</si>
  <si>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</si>
  <si>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</si>
  <si>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</si>
  <si>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</si>
  <si>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</si>
  <si>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</si>
  <si>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</si>
  <si>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</si>
  <si>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</si>
  <si>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</si>
  <si>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</si>
  <si>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</si>
  <si>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</si>
  <si>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</si>
  <si>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</si>
  <si>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</si>
  <si>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</si>
  <si>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</si>
  <si>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</si>
  <si>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</si>
  <si>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</si>
  <si>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</si>
  <si>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</si>
  <si>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</si>
  <si>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</si>
  <si>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</si>
  <si>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</si>
  <si>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</si>
  <si>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</si>
  <si>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</si>
  <si>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</si>
  <si>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</si>
  <si>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</si>
  <si>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</si>
  <si>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</si>
  <si>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</si>
  <si>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</si>
  <si>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</si>
  <si>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</si>
  <si>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</si>
  <si>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</si>
  <si>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</si>
  <si>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</si>
  <si>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</si>
  <si>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</si>
  <si>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</si>
  <si>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</si>
  <si>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</si>
  <si>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</si>
  <si>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</si>
  <si>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</si>
  <si>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</si>
  <si>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</si>
  <si>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</si>
  <si>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</si>
  <si>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</si>
  <si>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</si>
  <si>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</si>
  <si>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</si>
  <si>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</si>
  <si>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</si>
  <si>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</si>
  <si>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</si>
  <si>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</si>
  <si>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</si>
  <si>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</si>
  <si>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</si>
  <si>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</si>
  <si>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</si>
  <si>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</si>
  <si>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</si>
  <si>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</si>
  <si>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</si>
  <si>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</si>
  <si>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</si>
  <si>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</si>
  <si>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</si>
  <si>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</si>
  <si>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</si>
  <si>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</si>
  <si>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</si>
  <si>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</si>
  <si>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</si>
  <si>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</si>
  <si>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</si>
  <si>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</si>
  <si>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</si>
  <si>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</si>
  <si>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</si>
  <si>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</si>
  <si>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</si>
  <si>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</si>
  <si>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</si>
  <si>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</si>
  <si>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</si>
  <si>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</si>
  <si>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</si>
  <si>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</si>
  <si>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</si>
  <si>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</si>
  <si>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</si>
  <si>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</si>
  <si>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</si>
  <si>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</si>
  <si>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</si>
  <si>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</si>
  <si>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</si>
  <si>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</si>
  <si>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</si>
  <si>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</si>
  <si>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</si>
  <si>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</si>
  <si>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</si>
  <si>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</si>
  <si>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</si>
  <si>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</si>
  <si>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</si>
  <si>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</si>
  <si>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</si>
  <si>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</si>
  <si>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</si>
  <si>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</si>
  <si>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</si>
  <si>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</si>
  <si>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</si>
  <si>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</si>
  <si>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</si>
  <si>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</si>
  <si>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</si>
  <si>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</si>
  <si>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</si>
  <si>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</si>
  <si>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</si>
  <si>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</si>
  <si>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</si>
  <si>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</si>
  <si>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</si>
  <si>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</si>
  <si>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</si>
  <si>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</si>
  <si>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</si>
  <si>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</si>
  <si>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</si>
  <si>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</si>
  <si>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</si>
  <si>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</si>
  <si>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</si>
  <si>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</si>
  <si>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</si>
  <si>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</si>
  <si>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</si>
  <si>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</si>
  <si>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</si>
  <si>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</si>
  <si>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</si>
  <si>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</si>
  <si>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</si>
  <si>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</si>
  <si>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</si>
  <si>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</si>
  <si>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</si>
  <si>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</si>
  <si>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</si>
  <si>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</si>
  <si>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</si>
  <si>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</si>
  <si>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</si>
  <si>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</si>
  <si>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</si>
  <si>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</si>
  <si>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</si>
  <si>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</si>
  <si>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</si>
  <si>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</si>
  <si>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</si>
  <si>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</si>
  <si>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</si>
  <si>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</si>
  <si>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</si>
  <si>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</si>
  <si>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</si>
  <si>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</si>
  <si>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</si>
  <si>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</si>
  <si>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</si>
  <si>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</si>
  <si>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</si>
  <si>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</si>
  <si>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</si>
  <si>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</si>
  <si>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</si>
  <si>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</si>
  <si>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</si>
  <si>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</si>
  <si>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</si>
  <si>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</si>
  <si>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</si>
  <si>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</si>
  <si>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</si>
  <si>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</si>
  <si>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</si>
  <si>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</si>
  <si>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</si>
  <si>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</si>
  <si>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</si>
  <si>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</si>
  <si>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</si>
  <si>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</si>
  <si>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</si>
  <si>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</si>
  <si>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</si>
  <si>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</si>
  <si>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</si>
  <si>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</si>
  <si>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</si>
  <si>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</si>
  <si>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</si>
  <si>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</si>
  <si>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</si>
  <si>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</si>
  <si>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</si>
  <si>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</si>
  <si>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</si>
  <si>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</si>
  <si>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</si>
  <si>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</si>
  <si>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</si>
  <si>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</si>
  <si>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</si>
  <si>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</si>
  <si>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</si>
  <si>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</si>
  <si>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</si>
  <si>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</si>
  <si>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</si>
  <si>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</si>
  <si>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</si>
  <si>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</si>
  <si>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</si>
  <si>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</si>
  <si>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</si>
  <si>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</si>
  <si>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</si>
  <si>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</si>
  <si>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</si>
  <si>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</si>
  <si>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</si>
  <si>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</si>
  <si>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</si>
  <si>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</si>
  <si>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</si>
  <si>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</si>
  <si>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</si>
  <si>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</si>
  <si>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</si>
  <si>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</si>
  <si>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</si>
  <si>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</si>
  <si>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</si>
  <si>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</si>
  <si>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</si>
  <si>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</si>
  <si>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</si>
  <si>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</si>
  <si>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</si>
  <si>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</si>
  <si>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</si>
  <si>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</si>
  <si>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</si>
  <si>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</si>
  <si>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</si>
  <si>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</si>
  <si>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</si>
  <si>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</si>
  <si>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</si>
  <si>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</si>
  <si>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</si>
  <si>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</si>
  <si>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</si>
  <si>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</si>
  <si>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</si>
  <si>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</si>
  <si>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</si>
  <si>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</si>
  <si>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</si>
  <si>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</si>
  <si>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</si>
  <si>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</si>
  <si>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</si>
  <si>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</si>
  <si>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</si>
  <si>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</si>
  <si>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</si>
  <si>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</si>
  <si>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</si>
  <si>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</si>
  <si>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</si>
  <si>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</si>
  <si>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</si>
  <si>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</si>
  <si>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</si>
  <si>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</si>
  <si>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</si>
  <si>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</si>
  <si>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</si>
  <si>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</si>
  <si>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</si>
  <si>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</si>
  <si>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</si>
  <si>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</si>
  <si>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</si>
  <si>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</si>
  <si>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</si>
  <si>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</si>
  <si>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</si>
  <si>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</si>
  <si>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</si>
  <si>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</si>
  <si>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</si>
  <si>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</si>
  <si>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</si>
  <si>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</si>
  <si>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</si>
  <si>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</si>
  <si>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</si>
  <si>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</si>
  <si>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</si>
  <si>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</si>
  <si>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</si>
  <si>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</si>
  <si>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</si>
  <si>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</si>
  <si>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</si>
  <si>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</si>
  <si>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</si>
  <si>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</si>
  <si>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</si>
  <si>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</si>
  <si>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</si>
  <si>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</si>
  <si>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</si>
  <si>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</si>
  <si>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</si>
  <si>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</si>
  <si>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</si>
  <si>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</si>
  <si>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</si>
  <si>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</si>
  <si>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</si>
  <si>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</si>
  <si>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</si>
  <si>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</si>
  <si>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</si>
  <si>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</si>
  <si>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</si>
  <si>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</si>
  <si>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</si>
  <si>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</si>
  <si>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</si>
  <si>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</si>
  <si>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</si>
  <si>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</si>
  <si>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</si>
  <si>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</si>
  <si>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</si>
  <si>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</si>
  <si>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</si>
  <si>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</si>
  <si>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</si>
  <si>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</si>
  <si>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</si>
  <si>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</si>
  <si>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</si>
  <si>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</si>
  <si>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</si>
  <si>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</si>
  <si>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</si>
  <si>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</si>
  <si>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</si>
  <si>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</si>
  <si>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</si>
  <si>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</si>
  <si>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</si>
  <si>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</si>
  <si>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</si>
  <si>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</si>
  <si>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</si>
  <si>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</si>
  <si>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</si>
  <si>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</si>
  <si>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</si>
  <si>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</si>
  <si>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</si>
  <si>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</si>
  <si>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</si>
  <si>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</si>
  <si>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</si>
  <si>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</si>
  <si>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</si>
  <si>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</si>
  <si>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</si>
  <si>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</si>
  <si>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</si>
  <si>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</si>
  <si>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</si>
  <si>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</si>
  <si>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</si>
  <si>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</si>
  <si>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</si>
  <si>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</si>
  <si>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</si>
  <si>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</si>
  <si>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</si>
  <si>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</si>
  <si>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</si>
  <si>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</si>
  <si>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</si>
  <si>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</si>
  <si>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</si>
  <si>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</si>
  <si>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</si>
  <si>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</si>
  <si>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</si>
  <si>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</si>
  <si>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</si>
  <si>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</si>
  <si>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</si>
  <si>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</si>
  <si>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</si>
  <si>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</si>
  <si>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</si>
  <si>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</si>
  <si>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</si>
  <si>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</si>
  <si>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</si>
  <si>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</si>
  <si>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</si>
  <si>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</si>
  <si>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</si>
  <si>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</si>
  <si>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</si>
  <si>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</si>
  <si>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</si>
  <si>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</si>
  <si>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</si>
  <si>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</si>
  <si>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</si>
  <si>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</si>
  <si>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</si>
  <si>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</si>
  <si>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</si>
  <si>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</si>
  <si>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</si>
  <si>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</si>
  <si>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</si>
  <si>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</si>
  <si>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</si>
  <si>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</si>
  <si>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</si>
  <si>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</si>
  <si>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</si>
  <si>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</si>
  <si>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</si>
  <si>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</si>
  <si>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</si>
  <si>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</si>
  <si>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</si>
  <si>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</si>
  <si>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</si>
  <si>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</si>
  <si>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</si>
  <si>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</si>
  <si>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</si>
  <si>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</si>
  <si>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</si>
  <si>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</si>
  <si>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</si>
  <si>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</si>
  <si>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</si>
  <si>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</si>
  <si>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</si>
  <si>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</si>
  <si>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</si>
  <si>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</si>
  <si>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</si>
  <si>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</si>
  <si>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</si>
  <si>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</si>
  <si>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</si>
  <si>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</si>
  <si>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</si>
  <si>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</si>
  <si>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</si>
  <si>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</si>
  <si>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</si>
  <si>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</si>
  <si>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</si>
  <si>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</si>
  <si>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</si>
  <si>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</si>
  <si>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</si>
  <si>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</si>
  <si>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</si>
  <si>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</si>
  <si>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</si>
  <si>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</si>
  <si>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</si>
  <si>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</si>
  <si>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</si>
  <si>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</si>
  <si>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</si>
  <si>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</si>
  <si>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</si>
  <si>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</si>
  <si>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</si>
  <si>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</si>
  <si>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</si>
  <si>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</si>
  <si>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</si>
  <si>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</si>
  <si>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</si>
  <si>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</si>
  <si>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</si>
  <si>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</si>
  <si>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</si>
  <si>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</si>
  <si>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</si>
  <si>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</si>
  <si>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</si>
  <si>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</si>
  <si>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</si>
  <si>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</si>
  <si>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</si>
  <si>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</si>
  <si>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</si>
  <si>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</si>
  <si>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</si>
  <si>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</si>
  <si>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</si>
  <si>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</si>
  <si>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</si>
  <si>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</si>
  <si>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</si>
  <si>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</si>
  <si>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</si>
  <si>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</si>
  <si>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</si>
  <si>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</si>
  <si>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</si>
  <si>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</si>
  <si>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</si>
  <si>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</si>
  <si>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</si>
  <si>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</si>
  <si>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</si>
  <si>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</si>
  <si>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</si>
  <si>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</si>
  <si>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</si>
  <si>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</si>
  <si>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</si>
  <si>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</si>
  <si>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</si>
  <si>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</si>
  <si>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</si>
  <si>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</si>
  <si>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</si>
  <si>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</si>
  <si>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</si>
  <si>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</si>
  <si>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</si>
  <si>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</si>
  <si>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</si>
  <si>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</si>
  <si>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</si>
  <si>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</si>
  <si>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</si>
  <si>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</si>
  <si>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</si>
  <si>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</si>
  <si>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</si>
  <si>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</si>
  <si>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</si>
  <si>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</si>
  <si>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</si>
  <si>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</si>
  <si>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</si>
  <si>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</si>
  <si>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</si>
  <si>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</si>
  <si>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</si>
  <si>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</si>
  <si>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</si>
  <si>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</si>
  <si>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</si>
  <si>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</si>
  <si>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</si>
  <si>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</si>
  <si>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</si>
  <si>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</si>
  <si>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</si>
  <si>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</si>
  <si>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</si>
  <si>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</si>
  <si>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</si>
  <si>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</si>
  <si>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</si>
  <si>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</si>
  <si>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</si>
  <si>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</si>
  <si>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</si>
  <si>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</si>
  <si>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</si>
  <si>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</si>
  <si>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</si>
  <si>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</si>
  <si>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</si>
  <si>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</si>
  <si>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</si>
  <si>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</si>
  <si>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</si>
  <si>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</si>
  <si>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</si>
  <si>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</si>
  <si>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</si>
  <si>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</si>
  <si>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</si>
  <si>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</si>
  <si>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</si>
  <si>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</si>
  <si>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</si>
  <si>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</si>
  <si>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</si>
  <si>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</si>
  <si>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</si>
  <si>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</si>
  <si>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</si>
  <si>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</si>
  <si>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</si>
  <si>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</si>
  <si>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</si>
  <si>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</si>
  <si>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</si>
  <si>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</si>
  <si>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</si>
  <si>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</si>
  <si>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</si>
  <si>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</si>
  <si>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</si>
  <si>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</si>
  <si>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</si>
  <si>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</si>
  <si>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</si>
  <si>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</si>
  <si>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</si>
  <si>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</si>
  <si>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</si>
  <si>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</si>
  <si>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</si>
  <si>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</si>
  <si>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</si>
  <si>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</si>
  <si>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</si>
  <si>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</si>
  <si>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</si>
  <si>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</si>
  <si>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</si>
  <si>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</si>
  <si>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</si>
  <si>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</si>
  <si>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</si>
  <si>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</si>
  <si>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</si>
  <si>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</si>
  <si>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</si>
  <si>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</si>
  <si>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</si>
  <si>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</si>
  <si>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</si>
  <si>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</si>
  <si>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</si>
  <si>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</si>
  <si>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</si>
  <si>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</si>
  <si>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</si>
  <si>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</si>
  <si>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</si>
  <si>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</si>
  <si>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</si>
  <si>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</si>
  <si>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</si>
  <si>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</si>
  <si>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</si>
  <si>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</si>
  <si>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</si>
  <si>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</si>
  <si>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</si>
  <si>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</si>
  <si>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</si>
  <si>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</si>
  <si>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</si>
  <si>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</si>
  <si>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</si>
  <si>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</si>
  <si>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</si>
  <si>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</si>
  <si>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</si>
  <si>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</si>
  <si>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</si>
  <si>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</si>
  <si>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</si>
  <si>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</si>
  <si>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</si>
  <si>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</si>
  <si>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</si>
  <si>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</si>
  <si>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</si>
  <si>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</si>
  <si>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</si>
  <si>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</si>
  <si>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</si>
  <si>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</si>
  <si>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</si>
  <si>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</si>
  <si>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</si>
  <si>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</si>
  <si>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</si>
  <si>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</si>
  <si>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</si>
  <si>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</si>
  <si>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</si>
  <si>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</si>
  <si>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</si>
  <si>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</si>
  <si>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</si>
  <si>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</si>
  <si>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</si>
  <si>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</si>
  <si>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</si>
  <si>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</si>
  <si>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</si>
  <si>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</si>
  <si>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</si>
  <si>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</si>
  <si>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</si>
  <si>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</si>
  <si>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</si>
  <si>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</si>
  <si>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</si>
  <si>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</si>
  <si>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</si>
  <si>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</si>
  <si>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</si>
  <si>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</si>
  <si>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</si>
  <si>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</si>
  <si>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</si>
  <si>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</si>
  <si>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</si>
  <si>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</si>
  <si>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</si>
  <si>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</si>
  <si>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</si>
  <si>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</si>
  <si>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</si>
  <si>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</si>
  <si>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</si>
  <si>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</si>
  <si>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</si>
  <si>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</si>
  <si>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</si>
  <si>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</si>
  <si>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</si>
  <si>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</si>
  <si>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</si>
  <si>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</si>
  <si>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</si>
  <si>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orders</t>
  </si>
  <si>
    <t>Qty</t>
  </si>
  <si>
    <t>Avg.days</t>
  </si>
  <si>
    <t>Avg rating</t>
  </si>
  <si>
    <t>Row Labels</t>
  </si>
  <si>
    <t>Grand Total</t>
  </si>
  <si>
    <t>Column Labels</t>
  </si>
  <si>
    <t>Female</t>
  </si>
  <si>
    <t>Male</t>
  </si>
  <si>
    <t>Other</t>
  </si>
  <si>
    <t>Unknown</t>
  </si>
  <si>
    <t>For matrix</t>
  </si>
  <si>
    <t>6-10</t>
  </si>
  <si>
    <t>More Than 10</t>
  </si>
  <si>
    <t>California Total</t>
  </si>
  <si>
    <t>Count of Product</t>
  </si>
  <si>
    <t>Jan</t>
  </si>
  <si>
    <t>Feb</t>
  </si>
  <si>
    <t>Mar</t>
  </si>
  <si>
    <t>Order Qty Analysis</t>
  </si>
  <si>
    <t>Products  By Qty</t>
  </si>
  <si>
    <t>Products By QTY</t>
  </si>
  <si>
    <t>Map Chart Stuff(QTY)</t>
  </si>
  <si>
    <t>Map Chart For Amount</t>
  </si>
  <si>
    <t xml:space="preserve"> </t>
  </si>
  <si>
    <t>Customer Satifaction Analysis</t>
  </si>
  <si>
    <t>Shipment Duration Analysis</t>
  </si>
  <si>
    <t>For trends</t>
  </si>
  <si>
    <t>Values For Display</t>
  </si>
  <si>
    <t>Geographical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</si>
</sst>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
    <numFmt numFmtId="165" formatCode="0.0%"/>
  </numFmts>
  <fonts count="3">
    <font>
      <sz val="11"/>
      <color theme="1"/>
      <name val="Aptos Narrow"/>
      <family val="2"/>
      <scheme val="minor"/>
    </font>
    <font>
      <b/>
      <sz val="11"/>
      <color theme="1"/>
      <name val="Aptos Narrow"/>
      <family val="2"/>
      <scheme val="minor"/>
    </font>
    <font>
      <b/>
      <sz val="11"/>
      <color theme="1"/>
      <name val="Aptos Narrow"/>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3">
    <border>
      <left/>
      <right/>
      <top/>
      <bottom/>
      <diagonal/>
    </border>
    <border>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right style="thin">
        <color theme="0" tint="-4.9989318521683403E-2"/>
      </right>
      <top style="thin">
        <color theme="0" tint="-4.9989318521683403E-2"/>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top style="thin">
        <color theme="4" tint="0.39997558519241921"/>
      </top>
      <bottom/>
      <diagonal/>
    </border>
    <border>
      <left/>
      <right/>
      <top/>
      <bottom style="thin">
        <color theme="4" tint="0.39997558519241921"/>
      </bottom>
      <diagonal/>
    </border>
    <border>
      <left/>
      <right/>
      <top style="thin">
        <color theme="4"/>
      </top>
      <bottom style="thin">
        <color theme="4"/>
      </bottom>
      <diagonal/>
    </border>
  </borders>
  <cellStyleXfs count="1">
    <xf numFmtId="0" fontId="0" fillId="0" borderId="0"/>
  </cellStyleXfs>
  <cellXfs count="3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applyNumberFormat="1"/>
    <xf numFmtId="0" fontId="0" fillId="0" borderId="0" xfId="0" pivotButton="1"/>
    <xf numFmtId="0" fontId="2" fillId="0" borderId="0" xfId="0" applyFont="1"/>
    <xf numFmtId="0" fontId="0" fillId="0" borderId="0" xfId="0" applyAlignment="1">
      <alignment horizontal="left"/>
    </xf>
    <xf numFmtId="164" fontId="0" fillId="0" borderId="0" xfId="0" applyNumberFormat="1"/>
    <xf numFmtId="0" fontId="0" fillId="0" borderId="0" xfId="0" pivotButton="1" applyAlignment="1">
      <alignment vertical="center"/>
    </xf>
    <xf numFmtId="0" fontId="0" fillId="0" borderId="0" xfId="0" applyAlignment="1">
      <alignment vertical="center"/>
    </xf>
    <xf numFmtId="0" fontId="0" fillId="0" borderId="0" xfId="0" applyAlignment="1">
      <alignment horizontal="left" vertical="center"/>
    </xf>
    <xf numFmtId="10" fontId="0" fillId="0" borderId="0" xfId="0" applyNumberFormat="1" applyAlignment="1">
      <alignment vertical="center"/>
    </xf>
    <xf numFmtId="0" fontId="0" fillId="0" borderId="0" xfId="0" pivotButton="1" applyAlignment="1"/>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xf numFmtId="165" fontId="0" fillId="0" borderId="5" xfId="0" applyNumberFormat="1" applyBorder="1"/>
    <xf numFmtId="165" fontId="0" fillId="0" borderId="6" xfId="0" applyNumberFormat="1" applyBorder="1"/>
    <xf numFmtId="0" fontId="0" fillId="0" borderId="7" xfId="0" applyBorder="1"/>
    <xf numFmtId="165" fontId="0" fillId="0" borderId="8" xfId="0" applyNumberFormat="1" applyBorder="1"/>
    <xf numFmtId="165" fontId="0" fillId="0" borderId="9" xfId="0" applyNumberFormat="1" applyBorder="1"/>
    <xf numFmtId="0" fontId="1" fillId="3" borderId="11" xfId="0" applyFont="1" applyFill="1" applyBorder="1"/>
    <xf numFmtId="0" fontId="1" fillId="0" borderId="0" xfId="0" applyFont="1"/>
    <xf numFmtId="0" fontId="1" fillId="0" borderId="11" xfId="0" applyFont="1" applyBorder="1"/>
    <xf numFmtId="0" fontId="1" fillId="0" borderId="12" xfId="0" applyFont="1" applyBorder="1"/>
    <xf numFmtId="0" fontId="1" fillId="3" borderId="10" xfId="0" applyFont="1" applyFill="1" applyBorder="1"/>
    <xf numFmtId="0" fontId="1" fillId="0" borderId="12" xfId="0" applyNumberFormat="1" applyFont="1" applyBorder="1"/>
    <xf numFmtId="0" fontId="1" fillId="3" borderId="10" xfId="0" applyNumberFormat="1" applyFont="1" applyFill="1" applyBorder="1"/>
    <xf numFmtId="0" fontId="1" fillId="3" borderId="0" xfId="0" applyFont="1" applyFill="1" applyBorder="1"/>
  </cellXfs>
  <cellStyles count="1">
    <cellStyle name="Normal" xfId="0" builtinId="0"/>
  </cellStyles>
  <dxfs count="9">
    <dxf>
      <numFmt numFmtId="0" formatCode="General"/>
    </dxf>
    <dxf>
      <numFmt numFmtId="0" formatCode="General"/>
    </dxf>
    <dxf>
      <numFmt numFmtId="0" formatCode="General"/>
    </dxf>
    <dxf>
      <numFmt numFmtId="166" formatCode="d\-mmm\-yy"/>
    </dxf>
    <dxf>
      <numFmt numFmtId="166" formatCode="d\-mmm\-yy"/>
    </dxf>
    <dxf>
      <alignment vertical="bottom"/>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[Ecommerce_Excel_Report.xlsx]popular products!PivotTable3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6894037373899798E-2"/>
              <c:y val="0.27435215047700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757188498402557"/>
                  <c:h val="0.37564356435643564"/>
                </c:manualLayout>
              </c15:layout>
            </c:ext>
          </c:extLst>
        </c:dLbl>
      </c:pivotFmt>
      <c:pivotFmt>
        <c:idx val="3"/>
        <c:spPr>
          <a:solidFill>
            <a:schemeClr val="accent1"/>
          </a:solidFill>
          <a:ln w="19050">
            <a:solidFill>
              <a:schemeClr val="lt1"/>
            </a:solidFill>
          </a:ln>
          <a:effectLst/>
        </c:spPr>
        <c:dLbl>
          <c:idx val="0"/>
          <c:layout>
            <c:manualLayout>
              <c:x val="-0.11378555798687091"/>
              <c:y val="0.11845102505694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37876819221157076"/>
              <c:y val="6.4072269431667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0388169220782885"/>
                  <c:h val="0.3855445544554455"/>
                </c:manualLayout>
              </c15:layout>
            </c:ext>
          </c:extLst>
        </c:dLbl>
      </c:pivotFmt>
      <c:pivotFmt>
        <c:idx val="5"/>
        <c:spPr>
          <a:solidFill>
            <a:schemeClr val="accent1"/>
          </a:solidFill>
          <a:ln w="19050">
            <a:solidFill>
              <a:schemeClr val="lt1"/>
            </a:solidFill>
          </a:ln>
          <a:effectLst/>
        </c:spPr>
        <c:dLbl>
          <c:idx val="0"/>
          <c:layout>
            <c:manualLayout>
              <c:x val="-0.1575492341356674"/>
              <c:y val="-0.10478359908883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doughnutChart>
        <c:varyColors val="1"/>
        <c:ser>
          <c:idx val="0"/>
          <c:order val="0"/>
          <c:tx>
            <c:strRef>
              <c:f>'popular products'!$L$3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6AC9-4D2A-A58F-059816387B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AC9-4D2A-A58F-059816387B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6AC9-4D2A-A58F-059816387B1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6AC9-4D2A-A58F-059816387B15}"/>
              </c:ext>
            </c:extLst>
          </c:dPt>
          <c:dLbls>
            <c:dLbl>
              <c:idx val="0"/>
              <c:layout>
                <c:manualLayout>
                  <c:x val="7.6894037373899798E-2"/>
                  <c:y val="0.27435215047700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757188498402557"/>
                      <c:h val="0.37564356435643564"/>
                    </c:manualLayout>
                  </c15:layout>
                </c:ext>
                <c:ext xmlns:c16="http://schemas.microsoft.com/office/drawing/2014/chart" uri="{C3380CC4-5D6E-409C-BE32-E72D297353CC}">
                  <c16:uniqueId val="{00000003-6AC9-4D2A-A58F-059816387B15}"/>
                </c:ext>
              </c:extLst>
            </c:dLbl>
            <c:dLbl>
              <c:idx val="1"/>
              <c:layout>
                <c:manualLayout>
                  <c:x val="-0.11378555798687091"/>
                  <c:y val="0.11845102505694761"/>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6AC9-4D2A-A58F-059816387B15}"/>
                </c:ext>
              </c:extLst>
            </c:dLbl>
            <c:dLbl>
              <c:idx val="2"/>
              <c:layout>
                <c:manualLayout>
                  <c:x val="-0.1575492341356674"/>
                  <c:y val="-0.10478359908883828"/>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6-6AC9-4D2A-A58F-059816387B15}"/>
                </c:ext>
              </c:extLst>
            </c:dLbl>
            <c:dLbl>
              <c:idx val="3"/>
              <c:layout>
                <c:manualLayout>
                  <c:x val="0.37876819221157076"/>
                  <c:y val="6.4072269431667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0388169220782885"/>
                      <c:h val="0.3855445544554455"/>
                    </c:manualLayout>
                  </c15:layout>
                </c:ext>
                <c:ext xmlns:c16="http://schemas.microsoft.com/office/drawing/2014/chart" uri="{C3380CC4-5D6E-409C-BE32-E72D297353CC}">
                  <c16:uniqueId val="{00000005-6AC9-4D2A-A58F-059816387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products'!$K$4:$K$8</c:f>
              <c:strCache>
                <c:ptCount val="4"/>
                <c:pt idx="0">
                  <c:v>Female</c:v>
                </c:pt>
                <c:pt idx="1">
                  <c:v>Male</c:v>
                </c:pt>
                <c:pt idx="2">
                  <c:v>Other</c:v>
                </c:pt>
                <c:pt idx="3">
                  <c:v>Unknown</c:v>
                </c:pt>
              </c:strCache>
            </c:strRef>
          </c:cat>
          <c:val>
            <c:numRef>
              <c:f>'popular products'!$L$4:$L$8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2-6AC9-4D2A-A58F-059816387B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[Ecommerce_Excel_Report.xlsx]pivots!Piv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200" b="1"/>
              <a:t>Last</a:t>
            </a:r>
            <a:r>
              <a:rPr lang="en-GB" sz="1200" b="1" baseline="0"/>
              <a:t> 13 Week Trends-Qty &amp; Amount</a:t>
            </a:r>
            <a:endParaRPr lang="en-GB" sz="1200" b="1"/>
          </a:p>
        </c:rich>
      </c:tx>
      <c:layout>
        <c:manualLayout>
          <c:xMode val="edge"/>
          <c:yMode val="edge"/>
          <c:x val="0.14393442622950819"/>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41448302568737"/>
          <c:y val="0.20926783405805618"/>
          <c:w val="0.6885930037433845"/>
          <c:h val="0.65492419790809731"/>
        </c:manualLayout>
      </c:layout>
      <c:lineChart>
        <c:grouping val="standard"/>
        <c:varyColors val="0"/>
        <c:ser>
          <c:idx val="0"/>
          <c:order val="0"/>
          <c:tx>
            <c:strRef>
              <c:f>pivots!$B$11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AFC3-4BA5-9FB5-7DC5BEED3689}"/>
            </c:ext>
          </c:extLst>
        </c:ser>
        <c:dLbls>
          <c:showLegendKey val="0"/>
          <c:showVal val="0"/>
          <c:showCatName val="0"/>
          <c:showSerName val="0"/>
          <c:showPercent val="0"/>
          <c:showBubbleSize val="0"/>
        </c:dLbls>
        <c:marker val="1"/>
        <c:smooth val="0"/>
        <c:axId val="1850556928"/>
        <c:axId val="1850555680"/>
      </c:lineChart>
      <c:lineChart>
        <c:grouping val="standard"/>
        <c:varyColors val="0"/>
        <c:ser>
          <c:idx val="1"/>
          <c:order val="1"/>
          <c:tx>
            <c:strRef>
              <c:f>pivots!$C$11</c:f>
              <c:strCache>
                <c:ptCount val="1"/>
                <c:pt idx="0">
                  <c:v>Sum of Amount</c:v>
                </c:pt>
              </c:strCache>
            </c:strRef>
          </c:tx>
          <c:spPr>
            <a:ln w="28575" cap="rnd">
              <a:solidFill>
                <a:schemeClr val="accent2"/>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[$$-409]#,##0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AFC3-4BA5-9FB5-7DC5BEED3689}"/>
            </c:ext>
          </c:extLst>
        </c:ser>
        <c:dLbls>
          <c:showLegendKey val="0"/>
          <c:showVal val="0"/>
          <c:showCatName val="0"/>
          <c:showSerName val="0"/>
          <c:showPercent val="0"/>
          <c:showBubbleSize val="0"/>
        </c:dLbls>
        <c:marker val="1"/>
        <c:smooth val="0"/>
        <c:axId val="120458224"/>
        <c:axId val="120462384"/>
      </c:lineChart>
      <c:catAx>
        <c:axId val="185055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55680"/>
        <c:crosses val="autoZero"/>
        <c:auto val="1"/>
        <c:lblAlgn val="ctr"/>
        <c:lblOffset val="100"/>
        <c:noMultiLvlLbl val="0"/>
      </c:catAx>
      <c:valAx>
        <c:axId val="1850555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556928"/>
        <c:crosses val="autoZero"/>
        <c:crossBetween val="between"/>
      </c:valAx>
      <c:valAx>
        <c:axId val="120462384"/>
        <c:scaling>
          <c:orientation val="minMax"/>
        </c:scaling>
        <c:delete val="0"/>
        <c:axPos val="r"/>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58224"/>
        <c:crosses val="max"/>
        <c:crossBetween val="between"/>
      </c:valAx>
      <c:catAx>
        <c:axId val="120458224"/>
        <c:scaling>
          <c:orientation val="minMax"/>
        </c:scaling>
        <c:delete val="1"/>
        <c:axPos val="b"/>
        <c:numFmt formatCode="General" sourceLinked="1"/>
        <c:majorTickMark val="out"/>
        <c:minorTickMark val="none"/>
        <c:tickLblPos val="nextTo"/>
        <c:crossAx val="12046238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[Ecommerce_Excel_Report.xlsx]Order QTY!Pvt QTY</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1400" b="1"/>
              <a:t>How</a:t>
            </a:r>
            <a:r>
              <a:rPr lang="en-US" sz="1400" b="1" baseline="0"/>
              <a:t> Many They Buy?</a:t>
            </a:r>
            <a:endParaRPr lang="en-US" sz="1400" b="1"/>
          </a:p>
        </c:rich>
      </c:tx>
      <c:layout>
        <c:manualLayout>
          <c:xMode val="edge"/>
          <c:yMode val="edge"/>
          <c:x val="0.23080276550797005"/>
          <c:y val="0"/>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499395340087599E-2"/>
          <c:y val="0.17715207837392419"/>
          <c:w val="0.85537078387589616"/>
          <c:h val="0.53774387576552929"/>
        </c:manualLayout>
      </c:layout>
      <c:barChart>
        <c:barDir val="col"/>
        <c:grouping val="clustered"/>
        <c:varyColors val="0"/>
        <c:ser>
          <c:idx val="0"/>
          <c:order val="0"/>
          <c:tx>
            <c:strRef>
              <c:f>'Order QTY'!$B$3</c:f>
              <c:strCache>
                <c:ptCount val="1"/>
                <c:pt idx="0">
                  <c:v>Total</c:v>
                </c:pt>
              </c:strCache>
            </c:strRef>
          </c:tx>
          <c:spPr>
            <a:gradFill>
              <a:gsLst>
                <a:gs pos="0">
                  <a:schemeClr val="accent6"/>
                </a:gs>
                <a:gs pos="100000">
                  <a:schemeClr val="accent6">
                    <a:lumMod val="84000"/>
                  </a:schemeClr>
                </a:gs>
              </a:gsLst>
              <a:lin ang="5400000" scaled="1"/>
            </a:gradFill>
            <a:ln>
              <a:solidFill>
                <a:schemeClr val="tx1"/>
              </a:solid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'Order QTY'!$A$4:$A$11</c:f>
              <c:strCache>
                <c:ptCount val="7"/>
                <c:pt idx="0">
                  <c:v>1</c:v>
                </c:pt>
                <c:pt idx="1">
                  <c:v>2</c:v>
                </c:pt>
                <c:pt idx="2">
                  <c:v>3</c:v>
                </c:pt>
                <c:pt idx="3">
                  <c:v>4</c:v>
                </c:pt>
                <c:pt idx="4">
                  <c:v>5</c:v>
                </c:pt>
                <c:pt idx="5">
                  <c:v>6-10</c:v>
                </c:pt>
                <c:pt idx="6">
                  <c:v>More Than 10</c:v>
                </c:pt>
              </c:strCache>
            </c:strRef>
          </c:cat>
          <c:val>
            <c:numRef>
              <c:f>'Order QTY'!$B$4:$B$11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9FF7-4A21-A04B-5073F2E07A33}"/>
            </c:ext>
          </c:extLst>
        </c:ser>
        <c:dLbls>
          <c:dLblPos val="inEnd"/>
          <c:showLegendKey val="0"/>
          <c:showVal val="1"/>
          <c:showCatName val="0"/>
          <c:showSerName val="0"/>
          <c:showPercent val="0"/>
          <c:showBubbleSize val="0"/>
        </c:dLbls>
        <c:gapWidth val="0"/>
        <c:overlap val="-27"/>
        <c:axId val="584053423"/>
        <c:axId val="584055503"/>
      </c:barChart>
      <c:catAx>
        <c:axId val="584053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84055503"/>
        <c:crosses val="autoZero"/>
        <c:auto val="1"/>
        <c:lblAlgn val="ctr"/>
        <c:lblOffset val="100"/>
        <c:noMultiLvlLbl val="0"/>
      </c:catAx>
      <c:valAx>
        <c:axId val="584055503"/>
        <c:scaling>
          <c:orientation val="minMax"/>
        </c:scaling>
        <c:delete val="1"/>
        <c:axPos val="l"/>
        <c:numFmt formatCode="General" sourceLinked="1"/>
        <c:majorTickMark val="none"/>
        <c:minorTickMark val="none"/>
        <c:tickLblPos val="nextTo"/>
        <c:crossAx val="584053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[Ecommerce_Excel_Report.xlsx]popular products!Pvt 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b="1"/>
              <a:t>Which</a:t>
            </a:r>
            <a:r>
              <a:rPr lang="en-GB" sz="1000" b="1" baseline="0"/>
              <a:t> Products are popular?Breakdown By Gender</a:t>
            </a:r>
            <a:endParaRPr lang="en-GB" sz="1000" b="1"/>
          </a:p>
        </c:rich>
      </c:tx>
      <c:layout>
        <c:manualLayout>
          <c:xMode val="edge"/>
          <c:yMode val="edge"/>
          <c:x val="0.1323732251521298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900880037054198E-2"/>
          <c:y val="0.15143263342082239"/>
          <c:w val="0.57959783424637845"/>
          <c:h val="0.82112909497423936"/>
        </c:manualLayout>
      </c:layout>
      <c:barChart>
        <c:barDir val="bar"/>
        <c:grouping val="stacked"/>
        <c:varyColors val="0"/>
        <c:ser>
          <c:idx val="0"/>
          <c:order val="0"/>
          <c:tx>
            <c:strRef>
              <c:f>'popular products'!$B$3:$B$4</c:f>
              <c:strCache>
                <c:ptCount val="1"/>
                <c:pt idx="0">
                  <c:v>Female</c:v>
                </c:pt>
              </c:strCache>
            </c:strRef>
          </c:tx>
          <c:spPr>
            <a:solidFill>
              <a:schemeClr val="accent1"/>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0E10-4E18-A84B-C7F28E805CB2}"/>
            </c:ext>
          </c:extLst>
        </c:ser>
        <c:ser>
          <c:idx val="1"/>
          <c:order val="1"/>
          <c:tx>
            <c:strRef>
              <c:f>'popular products'!$C$3:$C$4</c:f>
              <c:strCache>
                <c:ptCount val="1"/>
                <c:pt idx="0">
                  <c:v>Male</c:v>
                </c:pt>
              </c:strCache>
            </c:strRef>
          </c:tx>
          <c:spPr>
            <a:solidFill>
              <a:schemeClr val="accent2"/>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0E10-4E18-A84B-C7F28E805CB2}"/>
            </c:ext>
          </c:extLst>
        </c:ser>
        <c:ser>
          <c:idx val="2"/>
          <c:order val="2"/>
          <c:tx>
            <c:strRef>
              <c:f>'popular products'!$D$3:$D$4</c:f>
              <c:strCache>
                <c:ptCount val="1"/>
                <c:pt idx="0">
                  <c:v>Other</c:v>
                </c:pt>
              </c:strCache>
            </c:strRef>
          </c:tx>
          <c:spPr>
            <a:solidFill>
              <a:schemeClr val="accent3"/>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0E10-4E18-A84B-C7F28E805CB2}"/>
            </c:ext>
          </c:extLst>
        </c:ser>
        <c:ser>
          <c:idx val="3"/>
          <c:order val="3"/>
          <c:tx>
            <c:strRef>
              <c:f>'popular products'!$E$3:$E$4</c:f>
              <c:strCache>
                <c:ptCount val="1"/>
                <c:pt idx="0">
                  <c:v>Unknown</c:v>
                </c:pt>
              </c:strCache>
            </c:strRef>
          </c:tx>
          <c:spPr>
            <a:solidFill>
              <a:schemeClr val="accent4"/>
            </a:solidFill>
            <a:ln>
              <a:noFill/>
            </a:ln>
            <a:effectLst/>
          </c:spPr>
          <c:invertIfNegative val="0"/>
          <c:cat>
            <c:strRef>
              <c:f>'popular products'!$A$5:$A$25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'popular products'!$E$5:$E$25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0E10-4E18-A84B-C7F28E805CB2}"/>
            </c:ext>
          </c:extLst>
        </c:ser>
        <c:dLbls>
          <c:showLegendKey val="0"/>
          <c:showVal val="0"/>
          <c:showCatName val="0"/>
          <c:showSerName val="0"/>
          <c:showPercent val="0"/>
          <c:showBubbleSize val="0"/>
        </c:dLbls>
        <c:gapWidth val="50"/>
        <c:overlap val="100"/>
        <c:axId val="712672767"/>
        <c:axId val="712670271"/>
      </c:barChart>
      <c:catAx>
        <c:axId val="71267276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70271"/>
        <c:crosses val="autoZero"/>
        <c:auto val="1"/>
        <c:lblAlgn val="ctr"/>
        <c:lblOffset val="100"/>
        <c:noMultiLvlLbl val="0"/>
      </c:catAx>
      <c:valAx>
        <c:axId val="71267027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72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[Ecommerce_Excel_Report.xlsx]popular products!PivotTable3</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6894037373899798E-2"/>
              <c:y val="0.27435215047700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757188498402557"/>
                  <c:h val="0.37564356435643564"/>
                </c:manualLayout>
              </c15:layout>
            </c:ext>
          </c:extLst>
        </c:dLbl>
      </c:pivotFmt>
      <c:pivotFmt>
        <c:idx val="3"/>
        <c:spPr>
          <a:solidFill>
            <a:schemeClr val="accent2"/>
          </a:solidFill>
          <a:ln w="19050">
            <a:solidFill>
              <a:schemeClr val="lt1"/>
            </a:solidFill>
          </a:ln>
          <a:effectLst/>
        </c:spPr>
        <c:dLbl>
          <c:idx val="0"/>
          <c:layout>
            <c:manualLayout>
              <c:x val="-0.11378555798687091"/>
              <c:y val="0.11845102505694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37876819221157076"/>
              <c:y val="6.4072269431667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0388169220782885"/>
                  <c:h val="0.3855445544554455"/>
                </c:manualLayout>
              </c15:layout>
            </c:ext>
          </c:extLst>
        </c:dLbl>
      </c:pivotFmt>
      <c:pivotFmt>
        <c:idx val="5"/>
        <c:spPr>
          <a:solidFill>
            <a:schemeClr val="accent3"/>
          </a:solidFill>
          <a:ln w="19050">
            <a:solidFill>
              <a:schemeClr val="lt1"/>
            </a:solidFill>
          </a:ln>
          <a:effectLst/>
        </c:spPr>
        <c:dLbl>
          <c:idx val="0"/>
          <c:layout>
            <c:manualLayout>
              <c:x val="-0.1575492341356674"/>
              <c:y val="-0.10478359908883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6894037373899798E-2"/>
              <c:y val="0.27435215047700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3757188498402557"/>
                  <c:h val="0.37564356435643564"/>
                </c:manualLayout>
              </c15:layout>
            </c:ext>
          </c:extLst>
        </c:dLbl>
      </c:pivotFmt>
      <c:pivotFmt>
        <c:idx val="8"/>
        <c:spPr>
          <a:solidFill>
            <a:schemeClr val="accent1"/>
          </a:solidFill>
          <a:ln w="19050">
            <a:solidFill>
              <a:schemeClr val="lt1"/>
            </a:solidFill>
          </a:ln>
          <a:effectLst/>
        </c:spPr>
        <c:dLbl>
          <c:idx val="0"/>
          <c:layout>
            <c:manualLayout>
              <c:x val="-0.11378555798687091"/>
              <c:y val="0.11845102505694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75492341356674"/>
              <c:y val="-0.104783599088838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7876819221157076"/>
              <c:y val="6.4072269431667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0388169220782885"/>
                  <c:h val="0.3855445544554455"/>
                </c:manualLayout>
              </c15:layout>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688620369936589"/>
              <c:y val="0.242606275477058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43755621763495778"/>
                  <c:h val="0.31215181435653877"/>
                </c:manualLayout>
              </c15:layout>
            </c:ext>
          </c:extLst>
        </c:dLbl>
      </c:pivotFmt>
      <c:pivotFmt>
        <c:idx val="13"/>
        <c:spPr>
          <a:solidFill>
            <a:schemeClr val="accent1"/>
          </a:solidFill>
          <a:ln w="19050">
            <a:solidFill>
              <a:schemeClr val="lt1"/>
            </a:solidFill>
          </a:ln>
          <a:effectLst/>
        </c:spPr>
        <c:dLbl>
          <c:idx val="0"/>
          <c:layout>
            <c:manualLayout>
              <c:x val="-9.4791090302901324E-2"/>
              <c:y val="0.2136891221930591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2581280788177341"/>
                  <c:h val="0.49671957671957673"/>
                </c:manualLayout>
              </c15:layout>
            </c:ext>
          </c:extLst>
        </c:dLbl>
      </c:pivotFmt>
      <c:pivotFmt>
        <c:idx val="14"/>
        <c:spPr>
          <a:solidFill>
            <a:schemeClr val="accent1"/>
          </a:solidFill>
          <a:ln w="19050">
            <a:solidFill>
              <a:schemeClr val="lt1"/>
            </a:solidFill>
          </a:ln>
          <a:effectLst/>
        </c:spPr>
        <c:dLbl>
          <c:idx val="0"/>
          <c:layout>
            <c:manualLayout>
              <c:x val="-0.20259416897212174"/>
              <c:y val="-0.1418206057576136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24959423990920054"/>
                  <c:h val="0.42264550264550266"/>
                </c:manualLayout>
              </c15:layout>
            </c:ext>
          </c:extLst>
        </c:dLbl>
      </c:pivotFmt>
      <c:pivotFmt>
        <c:idx val="15"/>
        <c:spPr>
          <a:solidFill>
            <a:schemeClr val="accent1"/>
          </a:solidFill>
          <a:ln w="19050">
            <a:solidFill>
              <a:schemeClr val="lt1"/>
            </a:solidFill>
          </a:ln>
          <a:effectLst/>
        </c:spPr>
        <c:dLbl>
          <c:idx val="0"/>
          <c:layout>
            <c:manualLayout>
              <c:x val="0.36780499711534193"/>
              <c:y val="-6.820314127400743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layout>
                <c:manualLayout>
                  <c:w val="0.37204440661133575"/>
                  <c:h val="0.48078240219972501"/>
                </c:manualLayout>
              </c15:layout>
            </c:ext>
          </c:extLst>
        </c:dLbl>
      </c:pivotFmt>
    </c:pivotFmts>
    <c:plotArea>
      <c:layout>
        <c:manualLayout>
          <c:layoutTarget val="inner"/>
          <c:xMode val="edge"/>
          <c:yMode val="edge"/>
          <c:x val="0.31962442644309746"/>
          <c:y val="0.29631107755366193"/>
          <c:w val="0.30405596782416588"/>
          <c:h val="0.40251218597675292"/>
        </c:manualLayout>
      </c:layout>
      <c:doughnutChart>
        <c:varyColors val="1"/>
        <c:ser>
          <c:idx val="0"/>
          <c:order val="0"/>
          <c:tx>
            <c:strRef>
              <c:f>'popular products'!$L$3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47-47AB-A9AA-9F97360B2F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47-47AB-A9AA-9F97360B2F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47-47AB-A9AA-9F97360B2F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47-47AB-A9AA-9F97360B2FD7}"/>
              </c:ext>
            </c:extLst>
          </c:dPt>
          <c:dLbls>
            <c:dLbl>
              <c:idx val="0"/>
              <c:layout>
                <c:manualLayout>
                  <c:x val="0.17688620369936589"/>
                  <c:y val="0.24260627547705826"/>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43755621763495778"/>
                      <c:h val="0.31215181435653877"/>
                    </c:manualLayout>
                  </c15:layout>
                </c:ext>
                <c:ext xmlns:c16="http://schemas.microsoft.com/office/drawing/2014/chart" uri="{C3380CC4-5D6E-409C-BE32-E72D297353CC}">
                  <c16:uniqueId val="{00000001-1F47-47AB-A9AA-9F97360B2FD7}"/>
                </c:ext>
              </c:extLst>
            </c:dLbl>
            <c:dLbl>
              <c:idx val="1"/>
              <c:layout>
                <c:manualLayout>
                  <c:x val="-9.4791090302901324E-2"/>
                  <c:y val="0.21368912219305919"/>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2581280788177341"/>
                      <c:h val="0.49671957671957673"/>
                    </c:manualLayout>
                  </c15:layout>
                </c:ext>
                <c:ext xmlns:c16="http://schemas.microsoft.com/office/drawing/2014/chart" uri="{C3380CC4-5D6E-409C-BE32-E72D297353CC}">
                  <c16:uniqueId val="{00000003-1F47-47AB-A9AA-9F97360B2FD7}"/>
                </c:ext>
              </c:extLst>
            </c:dLbl>
            <c:dLbl>
              <c:idx val="2"/>
              <c:layout>
                <c:manualLayout>
                  <c:x val="-0.20259416897212174"/>
                  <c:y val="-0.14182060575761363"/>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4959423990920054"/>
                      <c:h val="0.42264550264550266"/>
                    </c:manualLayout>
                  </c15:layout>
                </c:ext>
                <c:ext xmlns:c16="http://schemas.microsoft.com/office/drawing/2014/chart" uri="{C3380CC4-5D6E-409C-BE32-E72D297353CC}">
                  <c16:uniqueId val="{00000005-1F47-47AB-A9AA-9F97360B2FD7}"/>
                </c:ext>
              </c:extLst>
            </c:dLbl>
            <c:dLbl>
              <c:idx val="3"/>
              <c:layout>
                <c:manualLayout>
                  <c:x val="0.36780499711534193"/>
                  <c:y val="-6.8203141274007437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37204440661133575"/>
                      <c:h val="0.48078240219972501"/>
                    </c:manualLayout>
                  </c15:layout>
                </c:ext>
                <c:ext xmlns:c16="http://schemas.microsoft.com/office/drawing/2014/chart" uri="{C3380CC4-5D6E-409C-BE32-E72D297353CC}">
                  <c16:uniqueId val="{00000007-1F47-47AB-A9AA-9F97360B2FD7}"/>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'popular products'!$K$4:$K$8</c:f>
              <c:strCache>
                <c:ptCount val="4"/>
                <c:pt idx="0">
                  <c:v>Female</c:v>
                </c:pt>
                <c:pt idx="1">
                  <c:v>Male</c:v>
                </c:pt>
                <c:pt idx="2">
                  <c:v>Other</c:v>
                </c:pt>
                <c:pt idx="3">
                  <c:v>Unknown</c:v>
                </c:pt>
              </c:strCache>
            </c:strRef>
          </c:cat>
          <c:val>
            <c:numRef>
              <c:f>'popular products'!$L$4:$L$8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1F47-47AB-A9AA-9F97360B2FD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[Ecommerce_Excel_Report.xlsx]Shipment!Pvt  Duration</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Long</a:t>
            </a:r>
            <a:r>
              <a:rPr lang="en-US" b="1" baseline="0"/>
              <a:t> We Take To Ship?</a:t>
            </a:r>
            <a:endParaRPr lang="en-US" b="1"/>
          </a:p>
        </c:rich>
      </c:tx>
      <c:layout>
        <c:manualLayout>
          <c:xMode val="edge"/>
          <c:yMode val="edge"/>
          <c:x val="0.16052604817687788"/>
          <c:y val="4.02684563758389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3218097190217"/>
          <c:y val="0.33872146118721463"/>
          <c:w val="0.80140022749529238"/>
          <c:h val="0.44942221263437959"/>
        </c:manualLayout>
      </c:layout>
      <c:barChart>
        <c:barDir val="col"/>
        <c:grouping val="clustered"/>
        <c:varyColors val="0"/>
        <c:ser>
          <c:idx val="0"/>
          <c:order val="0"/>
          <c:tx>
            <c:strRef>
              <c:f>Shipment!$B$3</c:f>
              <c:strCache>
                <c:ptCount val="1"/>
                <c:pt idx="0">
                  <c:v>Total</c:v>
                </c:pt>
              </c:strCache>
            </c:strRef>
          </c:tx>
          <c:spPr>
            <a:solidFill>
              <a:schemeClr val="accent6"/>
            </a:solidFill>
            <a:ln>
              <a:solidFill>
                <a:schemeClr val="tx1"/>
              </a:solidFill>
            </a:ln>
            <a:effectLst/>
          </c:spPr>
          <c:invertIfNegative val="0"/>
          <c:cat>
            <c:strRef>
              <c:f>Shipment!$A$4:$A$19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Shipment!$B$4:$B$19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E9E-4C8F-A2B0-03CAF9393EBB}"/>
            </c:ext>
          </c:extLst>
        </c:ser>
        <c:dLbls>
          <c:showLegendKey val="0"/>
          <c:showVal val="0"/>
          <c:showCatName val="0"/>
          <c:showSerName val="0"/>
          <c:showPercent val="0"/>
          <c:showBubbleSize val="0"/>
        </c:dLbls>
        <c:gapWidth val="0"/>
        <c:overlap val="57"/>
        <c:axId val="822132240"/>
        <c:axId val="822133072"/>
      </c:barChart>
      <c:catAx>
        <c:axId val="82213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33072"/>
        <c:crosses val="autoZero"/>
        <c:auto val="1"/>
        <c:lblAlgn val="ctr"/>
        <c:lblOffset val="100"/>
        <c:noMultiLvlLbl val="0"/>
      </c:catAx>
      <c:valAx>
        <c:axId val="822133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132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[Ecommerce_Excel_Report.xlsx]Customer Satisfaction!Pvt Rating</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a:t>How</a:t>
            </a:r>
            <a:r>
              <a:rPr lang="en-GB" sz="1400" b="1" baseline="0"/>
              <a:t> Satisfied </a:t>
            </a:r>
            <a:r>
              <a:rPr lang="en-GB" b="1" baseline="0"/>
              <a:t>Are Our Cutomers?</a:t>
            </a:r>
          </a:p>
        </c:rich>
      </c:tx>
      <c:layout>
        <c:manualLayout>
          <c:xMode val="edge"/>
          <c:yMode val="edge"/>
          <c:x val="0.15397549951286515"/>
          <c:y val="2.50000000000000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Satisfaction'!$B$3:$B$4</c:f>
              <c:strCache>
                <c:ptCount val="1"/>
                <c:pt idx="0">
                  <c:v>1</c:v>
                </c:pt>
              </c:strCache>
            </c:strRef>
          </c:tx>
          <c:spPr>
            <a:solidFill>
              <a:schemeClr val="accent6"/>
            </a:solidFill>
            <a:ln>
              <a:noFill/>
            </a:ln>
            <a:effectLst/>
          </c:spPr>
          <c:invertIfNegative val="0"/>
          <c:cat>
            <c:strRef>
              <c:f>'Customer Satisfaction'!$A$5:$A$8</c:f>
              <c:strCache>
                <c:ptCount val="3"/>
                <c:pt idx="0">
                  <c:v>Jan</c:v>
                </c:pt>
                <c:pt idx="1">
                  <c:v>Feb</c:v>
                </c:pt>
                <c:pt idx="2">
                  <c:v>Mar</c:v>
                </c:pt>
              </c:strCache>
            </c:strRef>
          </c:cat>
          <c:val>
            <c:numRef>
              <c:f>'Customer Satisfaction'!$B$5:$B$8</c:f>
              <c:numCache>
                <c:formatCode>General</c:formatCode>
                <c:ptCount val="3"/>
                <c:pt idx="0">
                  <c:v>7</c:v>
                </c:pt>
                <c:pt idx="1">
                  <c:v>8</c:v>
                </c:pt>
                <c:pt idx="2">
                  <c:v>6</c:v>
                </c:pt>
              </c:numCache>
            </c:numRef>
          </c:val>
          <c:extLst>
            <c:ext xmlns:c16="http://schemas.microsoft.com/office/drawing/2014/chart" uri="{C3380CC4-5D6E-409C-BE32-E72D297353CC}">
              <c16:uniqueId val="{00000000-1D2A-4EE6-9A88-267C79EB1D4E}"/>
            </c:ext>
          </c:extLst>
        </c:ser>
        <c:ser>
          <c:idx val="1"/>
          <c:order val="1"/>
          <c:tx>
            <c:strRef>
              <c:f>'Customer Satisfaction'!$C$3:$C$4</c:f>
              <c:strCache>
                <c:ptCount val="1"/>
                <c:pt idx="0">
                  <c:v>2</c:v>
                </c:pt>
              </c:strCache>
            </c:strRef>
          </c:tx>
          <c:spPr>
            <a:solidFill>
              <a:schemeClr val="accent5"/>
            </a:solidFill>
            <a:ln>
              <a:noFill/>
            </a:ln>
            <a:effectLst/>
          </c:spPr>
          <c:invertIfNegative val="0"/>
          <c:cat>
            <c:strRef>
              <c:f>'Customer Satisfaction'!$A$5:$A$8</c:f>
              <c:strCache>
                <c:ptCount val="3"/>
                <c:pt idx="0">
                  <c:v>Jan</c:v>
                </c:pt>
                <c:pt idx="1">
                  <c:v>Feb</c:v>
                </c:pt>
                <c:pt idx="2">
                  <c:v>Mar</c:v>
                </c:pt>
              </c:strCache>
            </c:strRef>
          </c:cat>
          <c:val>
            <c:numRef>
              <c:f>'Customer Satisfaction'!$C$5:$C$8</c:f>
              <c:numCache>
                <c:formatCode>General</c:formatCode>
                <c:ptCount val="3"/>
                <c:pt idx="0">
                  <c:v>37</c:v>
                </c:pt>
                <c:pt idx="1">
                  <c:v>51</c:v>
                </c:pt>
                <c:pt idx="2">
                  <c:v>39</c:v>
                </c:pt>
              </c:numCache>
            </c:numRef>
          </c:val>
          <c:extLst>
            <c:ext xmlns:c16="http://schemas.microsoft.com/office/drawing/2014/chart" uri="{C3380CC4-5D6E-409C-BE32-E72D297353CC}">
              <c16:uniqueId val="{00000001-1D2A-4EE6-9A88-267C79EB1D4E}"/>
            </c:ext>
          </c:extLst>
        </c:ser>
        <c:ser>
          <c:idx val="2"/>
          <c:order val="2"/>
          <c:tx>
            <c:strRef>
              <c:f>'Customer Satisfaction'!$D$3:$D$4</c:f>
              <c:strCache>
                <c:ptCount val="1"/>
                <c:pt idx="0">
                  <c:v>3</c:v>
                </c:pt>
              </c:strCache>
            </c:strRef>
          </c:tx>
          <c:spPr>
            <a:solidFill>
              <a:schemeClr val="accent4"/>
            </a:solidFill>
            <a:ln>
              <a:noFill/>
            </a:ln>
            <a:effectLst/>
          </c:spPr>
          <c:invertIfNegative val="0"/>
          <c:cat>
            <c:strRef>
              <c:f>'Customer Satisfaction'!$A$5:$A$8</c:f>
              <c:strCache>
                <c:ptCount val="3"/>
                <c:pt idx="0">
                  <c:v>Jan</c:v>
                </c:pt>
                <c:pt idx="1">
                  <c:v>Feb</c:v>
                </c:pt>
                <c:pt idx="2">
                  <c:v>Mar</c:v>
                </c:pt>
              </c:strCache>
            </c:strRef>
          </c:cat>
          <c:val>
            <c:numRef>
              <c:f>'Customer Satisfaction'!$D$5:$D$8</c:f>
              <c:numCache>
                <c:formatCode>General</c:formatCode>
                <c:ptCount val="3"/>
                <c:pt idx="0">
                  <c:v>150</c:v>
                </c:pt>
                <c:pt idx="1">
                  <c:v>182</c:v>
                </c:pt>
                <c:pt idx="2">
                  <c:v>163</c:v>
                </c:pt>
              </c:numCache>
            </c:numRef>
          </c:val>
          <c:extLst>
            <c:ext xmlns:c16="http://schemas.microsoft.com/office/drawing/2014/chart" uri="{C3380CC4-5D6E-409C-BE32-E72D297353CC}">
              <c16:uniqueId val="{00000002-1D2A-4EE6-9A88-267C79EB1D4E}"/>
            </c:ext>
          </c:extLst>
        </c:ser>
        <c:ser>
          <c:idx val="3"/>
          <c:order val="3"/>
          <c:tx>
            <c:strRef>
              <c:f>'Customer Satisfaction'!$E$3:$E$4</c:f>
              <c:strCache>
                <c:ptCount val="1"/>
                <c:pt idx="0">
                  <c:v>4</c:v>
                </c:pt>
              </c:strCache>
            </c:strRef>
          </c:tx>
          <c:spPr>
            <a:solidFill>
              <a:schemeClr val="accent6">
                <a:lumMod val="60000"/>
              </a:schemeClr>
            </a:solidFill>
            <a:ln>
              <a:noFill/>
            </a:ln>
            <a:effectLst/>
          </c:spPr>
          <c:invertIfNegative val="0"/>
          <c:cat>
            <c:strRef>
              <c:f>'Customer Satisfaction'!$A$5:$A$8</c:f>
              <c:strCache>
                <c:ptCount val="3"/>
                <c:pt idx="0">
                  <c:v>Jan</c:v>
                </c:pt>
                <c:pt idx="1">
                  <c:v>Feb</c:v>
                </c:pt>
                <c:pt idx="2">
                  <c:v>Mar</c:v>
                </c:pt>
              </c:strCache>
            </c:strRef>
          </c:cat>
          <c:val>
            <c:numRef>
              <c:f>'Customer Satisfaction'!$E$5:$E$8</c:f>
              <c:numCache>
                <c:formatCode>General</c:formatCode>
                <c:ptCount val="3"/>
                <c:pt idx="0">
                  <c:v>312</c:v>
                </c:pt>
                <c:pt idx="1">
                  <c:v>373</c:v>
                </c:pt>
                <c:pt idx="2">
                  <c:v>351</c:v>
                </c:pt>
              </c:numCache>
            </c:numRef>
          </c:val>
          <c:extLst>
            <c:ext xmlns:c16="http://schemas.microsoft.com/office/drawing/2014/chart" uri="{C3380CC4-5D6E-409C-BE32-E72D297353CC}">
              <c16:uniqueId val="{00000018-1D2A-4EE6-9A88-267C79EB1D4E}"/>
            </c:ext>
          </c:extLst>
        </c:ser>
        <c:ser>
          <c:idx val="4"/>
          <c:order val="4"/>
          <c:tx>
            <c:strRef>
              <c:f>'Customer Satisfaction'!$F$3:$F$4</c:f>
              <c:strCache>
                <c:ptCount val="1"/>
                <c:pt idx="0">
                  <c:v>5</c:v>
                </c:pt>
              </c:strCache>
            </c:strRef>
          </c:tx>
          <c:spPr>
            <a:solidFill>
              <a:schemeClr val="accent5">
                <a:lumMod val="60000"/>
              </a:schemeClr>
            </a:solidFill>
            <a:ln>
              <a:noFill/>
            </a:ln>
            <a:effectLst/>
          </c:spPr>
          <c:invertIfNegative val="0"/>
          <c:cat>
            <c:strRef>
              <c:f>'Customer Satisfaction'!$A$5:$A$8</c:f>
              <c:strCache>
                <c:ptCount val="3"/>
                <c:pt idx="0">
                  <c:v>Jan</c:v>
                </c:pt>
                <c:pt idx="1">
                  <c:v>Feb</c:v>
                </c:pt>
                <c:pt idx="2">
                  <c:v>Mar</c:v>
                </c:pt>
              </c:strCache>
            </c:strRef>
          </c:cat>
          <c:val>
            <c:numRef>
              <c:f>'Customer Satisfaction'!$F$5:$F$8</c:f>
              <c:numCache>
                <c:formatCode>General</c:formatCode>
                <c:ptCount val="3"/>
                <c:pt idx="0">
                  <c:v>224</c:v>
                </c:pt>
                <c:pt idx="1">
                  <c:v>247</c:v>
                </c:pt>
                <c:pt idx="2">
                  <c:v>250</c:v>
                </c:pt>
              </c:numCache>
            </c:numRef>
          </c:val>
          <c:extLst>
            <c:ext xmlns:c16="http://schemas.microsoft.com/office/drawing/2014/chart" uri="{C3380CC4-5D6E-409C-BE32-E72D297353CC}">
              <c16:uniqueId val="{00000019-1D2A-4EE6-9A88-267C79EB1D4E}"/>
            </c:ext>
          </c:extLst>
        </c:ser>
        <c:dLbls>
          <c:showLegendKey val="0"/>
          <c:showVal val="0"/>
          <c:showCatName val="0"/>
          <c:showSerName val="0"/>
          <c:showPercent val="0"/>
          <c:showBubbleSize val="0"/>
        </c:dLbls>
        <c:gapWidth val="219"/>
        <c:overlap val="-27"/>
        <c:axId val="872669056"/>
        <c:axId val="872671968"/>
      </c:barChart>
      <c:catAx>
        <c:axId val="8726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671968"/>
        <c:crosses val="autoZero"/>
        <c:auto val="1"/>
        <c:lblAlgn val="ctr"/>
        <c:lblOffset val="100"/>
        <c:noMultiLvlLbl val="0"/>
      </c:catAx>
      <c:valAx>
        <c:axId val="872671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669056"/>
        <c:crosses val="autoZero"/>
        <c:crossBetween val="between"/>
      </c:valAx>
      <c:spPr>
        <a:noFill/>
        <a:ln>
          <a:noFill/>
        </a:ln>
        <a:effectLst/>
      </c:spPr>
    </c:plotArea>
    <c:legend>
      <c:legendPos val="r"/>
      <c:layout>
        <c:manualLayout>
          <c:xMode val="edge"/>
          <c:yMode val="edge"/>
          <c:x val="0.78784956605593059"/>
          <c:y val="0.11240600393700788"/>
          <c:w val="8.2901936520737213E-2"/>
          <c:h val="0.52057636159597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E01A1822-A814-4C80-8952-A2E229FA5EEB}">
          <cx:tx>
            <cx:txData>
              <cx:f>_xlchart.v5.6</cx:f>
              <cx:v>Sum of Quantity</cx:v>
            </cx:txData>
          </cx:tx>
          <cx:dataId val="0"/>
          <cx:layoutPr>
            <cx:geography cultureLanguage="en-US" cultureRegion="AE" attribution="Powered by Bing">
              <cx:geoCache provider="{E9337A44-BEBE-4D9F-B70C-5C5E7DAFC167}">
                <cx:binary>7H1Zc9w4su5fcfj5Uo2NBDAxPRFDsqq0y5a8vzDKUpkA93379ScpyR4Vq+ShblgPp+5Vd3SHXZVQ
kh+QmfgygfznbfeP22izLt50cZSU/7jt/n6rqir7x19/lbdqE6/Lo1jfFmmZ/qiObtP4r/THD327
+euuWLc68f8iCLO/btW6qDbd23/9E0bzN+l5eruudJq8rzdFf70p66gqf/PZ3o/erO9inbi6rAp9
W+G/3zrrSP9Ii0Sv325/Rv5+++94fZcWb5y0Tqr+7ZtNUumq/9Bnm7/fbg1D3r75a/rbdjR7E4Hy
VX0HwlQcUcYtRAR7+yZKE//x7w1M0BHnhEiKJBp/8M/fermOQXC+QvfqrO/uik1ZwnPd/39Hfush
4FX8+7++gtvxVYwv3wcc/n77MdHV5u7NTbWuNuXbN7pM799V0Tvp+Jwfb+5fzF/b8P3rn5O/gFc1
+ZsnCE/f63/7aBvE/wZwlOlk8yoAW5KaFjaZvP8RE5yxBJw5N00OM+BhXj0iPFujZxDelp+D8LbE
wSEMC+du/QoQ8yOBmCDCog8Q8wnEhBwRTmCZg3XYRni2Rs9BvD3ALIy3RQ4MZLuuqtdYxfLIxIQy
9NwqJvjINJmFMZnY6dkK7Ud4W3wGvtsCB4YueOh1synW5SssYnGEpUUw4fze3SJYq1N/bAkkYRJY
26v4RUrtR3l3iBlI7wodGNoQSyS6jNb1a8DNjyyGODhm+gzc+Aghwijl4LCfGu2XabUf7z1jzAB8
j9SBIe6kUV2+hoeWR2RcuhCFPYM2AbQFtSQzt9Ger9F+pCfyM1CeSBwYwjfr2wICkKRKX8WEmxyC
bQZm+v5nJw7DR0yO/4AjH38mrvpluu3He88YMzDfI3VguLub6M1lCnv4Pw87w0fcZLBXxuIZ2Bms
fkYh/J7E3y9Saj/eu0PMgHtX6MDQvlknb85rXb65+q7L7DWWunlEBLGwhLX+cynvRGsWrHBM5LZB
/79QbT/yzw00A//nRA9sFjgpEERrWPBlNf63/uPMGRpXPERoD8t+SqzArhuDLzA5nkRwL9VrP/57
R5kB/l65A0P+Yl3oLH2VSI4fMcEINwXZv/CBTpMW44LwxyBge/m/RLP9uO+MMAPzHZkDw3sRvXHT
AhjyV1nmnEjLJI/cmgR7PrX0YAAwLHSw9/AzCepepNp+xHeHmAH5rtCBYX6+LstN8ucBZ+iIAVku
5OMCR3QXcAs+ZsKC+P7pzny+RvtxnsjPAHkicWAILyFjlLzGkraOOMWWaWL84LmnS3pMiQgT/sGT
3fh8jfYjPJGfgfBE4sAQfhfVkH/982uYghOmFgej/Yjwzk4cHcECliZkxrbX8HyN9iM8kZ+B8ETi
wBAeI49XMNKUH0nOTG6iR7e8J/g2KQYTLSfB92yF9uO7LT4D3m2BA0N3FW2S10AXsl0EmVgSSHVs
B1uwp5ICA28+oVJma7If1m3xGbBuCxwYrCdxtin0OnoFw0yOuCTCZBQ/bJ+mwRU2j0zwzCaGmpQ9
0fRLNNuP9M4IM8DekTkwvI/r+Hsa3VV/Hm8IprmwMGO7K5kdYQtTBGULD0HYth9+iUr7gd4ZYQbQ
OzIHBvRJ0r9OPC0QAYvNH0uMduLpMbctLUuIiTOeq89+hLekZ6C79f0DQ3akdC+g9O014L2nvDiH
WPmZ/AaUFxGBIbE14T5epNR+jHeHmAH0rtCBoX2xvoMqlD9vrqkF5CWB4AoC65/udzv+QkfIAlKb
4UlaY75G+3GeyM8AeSJxYAifbYrXCKzNI8rvq8geoquRrNzCF5iPMamBKZlwW3P12Y/ulvQMbLe+
f2DI3ugy1H1a//nVOyaiKYbMxM860KkfhoyUBRVHJizh7WjrJTrtR3hnhBko78gcGNJncHzgNcgt
6wiWJ9Tzskd/PIUZFrEFn0Ep6HQRz1VoP8bbzzMD4G2BA0N3DDJO03Vevxa/BewWI+wxCzHdJ0O9
L5EwBaR88NR7Iq8XKLcf731POAP1fWIHhv1F+ip5CXFE4BiGsB53xHLKWsPChkBbSEgtb9vvufrs
x3lLegbAW98/MGTP1+ErlIhBPgIKwDDg9ly1LzmS2MSW4JPi7rn67Ed2S3oGslvfPzBkb9T6VeqA
gOKCo1MWFfS5wn1yRAVGAuKy7VU7X6P96E7kZ+A7kTg0hMEju3rjvwYHArw1BocM3PV0x8SBxwR8
xU92ZILxS3R6BuadIeYgvSN0YGCfp+Wbfyf+Jtq8RojNjpBJCBU/Q+wd1MFVw9kMxsGm70lTvFC5
/bjvG2QG8vvEDgx7CECqTbHp//wWGggwi1ucU/RozPfE3ZZpgbmfnqV8iU778d4ZYQbYOzKHhvQm
uUtv9atE2/IIKGspOX9MRU65MEKhbJ9blI5x+NM6r4uXKPUM1jtDzAF7R+jg0C5u4Qy/88dLtfkR
RZa0fu2spuYc7jpgAkuw5nsP5lxs5ur1HNpb8rOg3pI4MJxHhsAGgntd3L3O0obcMpymg5jscbs1
teKYA3vCkOSTffTLFdsP+DPjzAD+GckDmwCXm2b9KjchAEFiES4oesxfTYEH2gzBoR04RT/Zi83X
aD/iE/kZSE8kDgzhixT89p+35JDiYBJB3Sa2HnLROwVisBtnBPDFAP2W056r0H58t59nBrzbAgeG
7tf6+2tkn8eIDEPtFxCc9z87VyDAJRfAkAkIv7fBnavPfmy3pGdAu/X9A0P2cp29BrKwXZaQsYKU
1AOyO3YZSkjgSAWC5OU2snP12Y/slvQMZLe+f2DI3ow307zGDWKwaikhcHPJY639TnCNjyxiQg3g
1OfO12g/uhP5GfhOJA4M4atiDYTYn3e6lELRLhxwE9ZzV4jBBVQm3BNnTQ+/zddoP8IT+RkITyQO
DOFPENHUr1L4BVcUCNgyoecOM4+pRwlF2xaC5f00rnqBSvsxng4wA+SpyIGh/C5a376KpRZHkDse
V/LDjY67Jxthd8TH0nzyEFxPdsfz9dqP9ER+BtATiQPD+QMcjYJbPP+8wR6r7qFECPJVj7ukaSEB
FIKNwRaGC4m2V/MLVNqP8XSAGSBPRQ4M5WsNN8aV+u51HLMUyKT0sZpzt5wTiE+4Tw4KwSZL+UVK
7Ud6d4gZWO8KHRjaD/wdLOvXSEJbEGZBJA0F2r/s81b1LrBbDBEE520m7NbLtNqP954xZgC+R+oA
EV9C5H2ry9v0pzX9Ezczczg6hRCHQzPPoE2OoDoQ6n3pZHGP7/yXRnO8y/OA7w4zE/NdwcODHW4V
stfF9/UrBeQA7nh++fk7CiwpKAMf/jA9fk69h8ubYQ68TL1n58CeYebNgT2CBzkHnOh1ZgD4bigw
gYrBx/W/h1cB24AhmTG5w+AB+9lq/Q757UFm474tdmioQ/Fv/DokKaPSAp70udqT+yI0i8Hxq8li
n63RM1hvy8+BeVvi0BC+N55OUQ9zvOcLGy7AETvOMEM/M1g7yxqugoUibwR02gTlF2n1DNK7Y8xB
e1fq0BDXm+JV3DjcZGEhCofcHwpLdikXdAQfgqMX+89xzNbrGby35edgvS1xaDin0fpVisnGoxtA
rI2Vg/c/O8VksKqZBJB3tmazNXoG4W35OQhvSxwYwh82av0a3hk4NbiTxIKy4GcC8rHJBoTj0IPh
4cjWlFmbrdd+nCfPNQPnicSh4VxD2P0anBqcrqRoxPCRJJ+u5PtMyBh4m5MihA+zNXoG4W35OQhv
SxwcwnAbf/wqPZHg9jABBYCQkn7GWiM4skMwFmQH4/k6PYfyZIRZOE9kDgzpr2n0GnSpgFp+uJIG
Eh2TMzvAk8IHHMMFRNsh9lxF9kO7JT0D1q3v/y+A9Pcqbj3w2Ozs3z/f7R4y9KVd6qBeF7obWUCG
7V+w45F3DBtnqB/bx4ZBq5pfnfUektf7dNqP6lPZrWd8eMTfv5TXaUP3fIu6X63+3HW1Xtw3CXzS
pe73n94/PvQ2nIg+Zvv3vLBfpVond3+/hcIuCrcxQqbxV//BcaCtWoGRmH48lf5zbmyLbuCI5t9v
73sPSgznMiwLNk6QvIJR283jR2MNoGVy6J0D+2hrPAmdQF8H9dDKEJQgEIJDBtukEhZ3mdb3H41X
GOHHweCQrfmrkeO7NOr9NPn1Zh7//Cap43epTqoSxuXgBLKH743qmlClNhYRW3CRBoNzBXBmAD6/
XV+PtyvAi/g/QNvHXcf64qo3GgtnNqlxruwkEcGJVavkSjPrQiuuLi2zWHmDZb7P+1Dag4+uqceu
w6LepCjL7a5TJ0HTnCmOlw2tz0NCHKMZTqMEn4sEuwPhldOw7nuf0XMU9ZFN6/iSMLH0fH5eKmOZ
9sZ7K1AfeZ98NrvKEV6+EUzYBRZ21CcnYZ26yjB821L0xBTqU9G3jsHQ+z6MLuteu41Elx1vKlta
3bklhpVZYKfV/kcz17YBT7SIiva71NWFJ8NlVdBv1I9WTVWdJp61rKg8a1h+6Sl1KdNuKQfm+Cq7
rElg0zS/KDryGa7xPFYYX8q+t40wvQpwcJkaeNHU0s3LwVWo+Sp1+U6p+sJve6dJxYq19YJG1mVB
skUof5SFJIs4aGtH1fXpIMXaa7mtLfY5CJoTo5RuY5bXyh9WRhC4cTbYVlbc9GVf2l6nr3yTH4e8
dXFgfTTL+Hjoy+tYVN8T0l0aIrlUXn7eWPGxOdSncdEf13lpcz/7wYPsErJxi8GTJ9Rn11zxzBZG
dlzxJLFZ1F6ENTds3OdnuReuacquZWY5Snu9HdX8qjaqc5/E7uA3J8WQOCU3rgPZnWDkfWJx/9GX
dGElGtu50gsv7JitPJQ7PM4vtIjapdXm3fuorz031daaN7JYZXm3EplZO36XfSYkU3bcdt8TqAPw
7aLwUb4oe9kOC68URXAcyESdVGlRBFdsGDptB8xK6KqBFqRLiVtAvytPTCNFqzSvI9sQ2XWYVtlp
YhWNU+ahtnGE6UVnDo3b9Diwo06ntkx84np0CK6hJnAVElTaZuUfBwkuXThkIxbwSIOTkGFwcFJz
O8h4vqgECpyat+zYaxLTLa3+RrM+dyupOtujVrgc6ipz0iwnduuXH0VRoUVo1b0dROS9Fn3mDsGP
1vSULQ3ywSDebSqoK3p2NRBzyYrwMi/D1g3bxmGRt9EDuxBB9dloQe6iqKtmAd+tnTyrQ5ta/kLH
6XuSxp/autJu1pSV7UETTWdQLHSDjH33/SqxUZH0dlbmtVsyeamLxrd5F9xJo+7shtWx0zQqd0Mi
Nn4mvyU9+Wia1gb0V3aVotLpexq5NOt9W8U0c80kUHYWetpuMnycRYVLhb5qVHwq4vYT6/ofNUen
gRSnLFV62Rn1Qvvqkx7IQsZRftl7bb6Mm0iBxTGsizTybpJM+bYvw3JBVEPdmtHAbnHypQ0GeMt5
fGekIrVR1xYuV36yDMLuxDOiVYCkduTQfB1SldtR1V1pxL+rpvvesaawiy6GecutY2o1JkhGx74o
DJvkZCmyaHBySlZeSr5UueY2mCknL80T7delXVv6S+9TGNxgt9rLY9eSgS3r6rtRF25JrN7pPOTm
ifeZ+nnj9LKEAWrksNB3aG0Qh1VFbQ9F9kG1NHZR0PeLzgLcO8/7QiNU217mcZhfdJmHRm5L2cIS
1SE0gk1hWRatKEE9+iNGpFs1ni/t2ixsHerWbuP8ROvBAt2a00yUV12sC7sfalvE9KRV6FJVzacE
odOqFYMdGVLa2ugDu0bdeajQTetXZ2aiPuCeI7sJLDcpgsYWrKWu1RnnuhbYTvrwY6GYaes4427E
s6i+USpMlkVb+soxUo/ZTV4hxwgadcIqvVRRw+wECWOFhr6x+yTTdlLG6bKryWkZ9u+zuExsjrvo
vU4b7TztdLvl327TrC9gxjz2Kv71x399SGP497717X/+cmx1/J8/rTbpmFksp18aY5Ff3/pP+9zR
9//qpTuJKB76JT8Tbvz2w5fFIhD2/z4Wub8sYE8kMubTHiMRbB2h8fKG8T5iyMVjiHl+RiJwiMyU
ppBUmBJar443A/yMROgRBAkILmkam4BAjAL5mp+RCDkyKZwclxJBkxATm9ZLQhHoJzMJReA2Nwrn
1KEJDWxm4TD6+PmTUEQHgSpVVNELuAs7Vo4Z5pVfObVlhqexjtuMOLgZeNHYDGWkc1XSDzd16rm+
SvxzWgd8HarEoVXugPP4FvAI43ctLjPfDpoeQpSySeRVnFbDqU/rSJ/kVU8+QAxmmCe4RGASpDSq
q9ij3mnYW6hakDAM8I3mMmJngz9E5S34C6u9KGhWmDCTIXiwkmjjNbl200TXkVMzUQcrFAi8lLnQ
zXWV99UJi0hp2MOgQvBmqK+/DYyD6ea5Qmeklt5ZkeeBdJKkVQvVydwp8qJa1KjXZ2bVs3PPG7La
DqQnob9joqTNcq8dVhBSDk6YqPqdIua675NvPPRvA4vFC9hKxk5mmZusijeWTHFlN3HO7tpKOwIl
Dsn99iQZkLmsQqP+1lq+ZTcEae20YY0dIdvAhrbb4jM2dObKsPVuO201xyVNyIkyPHVuhCQ+DnHB
L3ledydDluUrZjapUzRDZcdh0jmmAJ/eQWbKlo13AeBmrlUJp2xLzxVVfCZqmTqmV/CL3jSHk5CB
M9BERjaTasV1HtuFT8DD9SKAvkg1mI0kdDMhISpUxko0w3GE5RUNtLUCb1LZRhmHtu8VzC5Z94Up
5oELHRqbW+YqxbKDdq+dU6mivQwpxJdIqc6Rkdm5BVQfLgIjI1fID8MbozXpdWJZySZArDiNc518
DhpWOFrnd0nfBGf/32rd76AQbCaet1r/vu+QvWuyRqlfJgtyTgx6TUJTdzgJScaU00+TBeecEYc7
pqBVMOyTgcn+j8kS0DEBfqCa0ARy0+Jg6H6aLGgRT2DTBLefgNkChhu/yGSZYBcnuydC4BJwagGF
ygjsyrZNll/wNgioiK4MnH+FfvStPdTRd9ybJxGOEzuABVoW9YKbsY0avhyofy77/LIVsW97owuP
x2le+4ZT8JosfRMtUUpvWt2QheBp7TR+f44qz7WMNLM1rj5pQTInwtG5MvPIaYziOArLdWx1vl1j
ducRXTqZEfuOb3ZnnWjuYD3njghR7yIKMXrfmBDlJ8MC1UbkFjFMfyLqyuG1rB3WI8up0qRfJmn/
jsCydIkfndWdSe3er77AsuncMunvUmSdwtG3zM27JLP9pgzt2Ke2qSD+SLh8N0j8ufEGsLxCh7ZS
RmtHvII/WoF2Bj8jdhz7ns092IxUy56nnp3npbZJ230alH8Bu5KzzMvOFDyTnfYQ2cSEXLc6dBvf
jxdhQi48TD54fVQtG2BebWhl2dhVCZu/LDSEzRg9jmmvHU9kn4VZGI6Fer/2HRNstX9TkSD7hvL2
Uz+w9qyC6CmjVbmKcBvZQV5862CXo5NwFWetZbPaTG3W9qldU4/AvkZcKJ98onlJ7Vq3VwZcsbEI
w3pwiTn4i0FqYfuFNFZGWl9TQ92ZkZeuWggJcR2GZ6m1rrp1Jvsly6x12dN0VRdoBc1c/UWRtXH6
SWKV3EQoysKN9oe7tlPXAwV3xOss5XZYKCHWBew8PZjfJ6hK0HFXkfSKFJ68YrFXnvbSc5isF0kL
UW9VQNCHFNKOYrK/pMHAta3TuF1FJv/cJq3LdawuaJdu8qEhxyj1ZW4XllCD/f+inXtqsEwoXv2d
iXvKtz1wdfeky73ULxMHB/zHy3kQtNQ0oVEPDPjLxDGogYVcOnRXFsAXjldSP0ZlDFKweLxdDz0Y
v/Ey8p8mbozKYEBgbgTc4wUX4L7IxMHv2LZwEpKAcJmbBVQUhTscIZ58GpRVA4V9bF13l0lL5aJp
PZXZKQ146AAN0by3DLM/DbomCRcIhdXXKmXNx5CVHYRbMsk/P3l7j+H9U7pqvPRzqg1cdTAGowyx
sWnltjYs6bNQqrq5JHmCL/1wSDy75qmlnK6pUmk3Lau/8iYztF0ALZI7eVCEYGqHkjOIanhyJ6sK
XcEYqnZJFOGPg2kIvOot09vg3sDd8vcak2lQa0IHPbiGB1pwSSD6oNPeRGPNFWDbV5e0M30ftlZD
9LGB7DpdVrxPTbvpOxy4mnvChj1qr+0+RHQVN0WP3aJJqzvVlSV2tJHBHriCPZNdxUAz2bwwQ3/h
p4F6F9byNC6lKl0oxpKfSpWfhVFrdgtdws5aF6qJV79/ql0Y4GgNAscHfWDhxrD7h34SqfPe8Fsj
i8rLpPLkp9SHvYbNQgJTI0vq7l3bFfIm83D05fe/dpxrT7lKuNMEGlACWUpgLsJ/RrWe/FoTdT7L
Sj+5TMSAL3Go6sukhLBMeOrT73/T1K+Pv0lC+TmHzmjgx8RknmUJ64e8UOmlyBBb521aRCuvEj2x
w0wtEDBMg0NRL1InoGYb/7dJM06K7QeFiQJdCBgFZhasw+TXQ2WGBoIj1hBbh+Y6DmpzHUajDuYQ
lwurSFO7RwD9qo3ylth5mPJNFcnypJWwXegsWiCHtkEaOgFP4o+0yAh1lej7TWY0mYuMIeaOKVNW
HJvUAp/9+7c3thab6s9HswH1vAS6CTOwaU+BQlZtJqbpGRe49uK1LqrSt7ERVgmDaL5P/NNW6fC7
L2R23g25Wlop67RDcMN/VHwYUqdXPndYGjQbXVB+15iZ4qe/V5LtBG8P+03ocj22PITVOVLjT6aT
VQiNCgX7zYDlmSfFSOANKwhxqFxWTV07RZej903cmzWEMIo7BU5WJSmyVcRgMxpGeXydRWbc2Txq
/c9tEKcnfVlBCGLm2UerDIXrATfk1GkQgMutaNDaXlAml21mlFe5MdCF72NglIzBS2KHAHl2bFpV
dE0C/53fJ7Qbqdf8svLyDxWJDSBmGgIvUvcEbAOrh8FGrQjOI2WKrx6q2amCOPV88LtGOi1SLIb+
6L0+MUTRx3bbi8HFrWkAidjdAhFY3dTI4AqYpIovPSAGT5hHyIdc4TZcedzA2oYdq/cdqnphz62T
3PhWxzx2s6wkJ2GaZCc4l9GdbjIL1j2NwxstvY4DIcT808IraqeH97DCjMirvI27BWuLfIlxh5sF
hB7Yd5rWF7nTEOUt4pIWbp3JK+UZPnIxTqtjcDWkdRIUWLaoePSli5E6I4XMbkxamataBgZZllY8
rIWVFosSdcGwbELhL42uQ2tSRu2P0s8y0xlIBVwbcL2Nv+yqIIXF0baL3m9qsSxST7nAOsTHCXwV
cgesSOFFxw2wvWUQGA4fCXqemt1gsyrygGAwknhVWOHCZ3WP3rcUM1eXBYLYEWZStaRVK8tVRzlk
IcJhiLz3dZtXcWz3GvIYxZ3yFCHD17I1Oh4DB1yAKU9vSR8HFS1gk1rXGbqswioOu1Op82HVAOXo
ncSF1pkdkCi9QdygJ0FPae3UgIFn9zmC/e2gYiHcxPPAH1ZR2OYLK2x95BRRhb0rlUP+Jz0Oe94q
t+8iWZ1bZUVhRrVeisvWqcEXLi1DBd5VA1SN5Tu5yARMOBqW8TKJdCHtKAfn5S26RluO4UGO07R7
DyUMNuheHDtK1q23bCMexYsS2PFwaSZ+PDhiMMFiJiQE2jpWhRHZTdn75btSG3G8SH0tfhh1wzVy
UUqqlQYaRVyahud7pwnlFTcDJ+nKfOiPS7gQvlCLzFc8htRAM+RLWZSQBOgjK+6PUVnGmWOSPtIO
78w+WhU614YDsJLPRhYP2IUjaCEwuWGMjKsoQAbwvFUCO/w4lvEJLWQVLUJVWddA4lO6DIyU4DPV
qpIDAaGIqlZe0WTJDThjehr4AwmXdQYaLNIq8oeFwN0gHRH0WXsRix6mtgFLpXA9jOvTgppm5Poe
9WuXJw3AqXkJ8UkyBHTYRCGUVLsCFIhd2scqh+yKZse+5qHlABeVU1en2nOH2gtN22iLTL4LvDZg
DtV5MNhxFgzGGfIitsSZ55ugLmzRFrhXQ3qiNG59SEAx1drj92wstUxg+vg0d7pWG4Ndddr4BlkC
SMTZGtYRucRDogdti4YZ9EMftaS+tGDnkrqJzKsLs07AJfklD0FAxrAjX3pa4eTrgKNEneZ9HHXL
sjUHfYaByfvAAqCpzM6LPVtgmLzLOuk4XZTWoEH5GgexG9E8LB3ReguNdf41aluILAI/aG5K02q/
Z4Wixw1vfW8hQiAt7UR4MI4ZpUG3TIoGXw5dRtn7sjLxB1wZ8I3WMkrhVMByd4uGxIE+hkQeAfKL
+yW50gaXQJLn4+QMgrxc8ahU5buuZ0BUwQYRsFFtAoqlJRjdM/Bg8hMVCGZ3DFayGHNEXXpSldIj
74ICtnfXRCSSnXQMMnwXVVeNwafqu3dmaFjdIm1j+NVpOgAr1ZG4GlYo5OPDj6q3YJ9AryzGl8xM
4Cnq3IRXpcI0HBwZQo7GySI/1O+TgsOSL2qICnz4DGwqqRJ1lWNI4yY2zRQCuNuiqy9iQ2WlrVGd
d8sOromki77JyWg0YDE58ERgQDqJxzi5SuJPHjQOPhWNhg2sUEC/Ol3vW+s2oaBGVwT9Na06VJ75
EOYGZ2mWhMGNAG+xKhOEL3Pp51/hSJ+V24opTU5T4cv6zFOp37h9wXPgRnhPVxmB1+ognve3YRSa
77q6ROlxjvom/NxasV8ex54R/+gHOdoQnUfKhX2AoAtNelUuMyuWnw3kxUtghP3c5gzMXF+06lqn
VXkm4zAwXZMUxAezZzJwR4rIT0VgNP4iIgksk8HwqDxhSYrzTQwGuT+FJn2wNtrRYi8C04A32jVD
swAn0+ZnuKiJ5XgyqhrwtLRBEHrnwbdCNvKD0UOYDkncqsB3FfAipR1jzIE7aAkM1cVYDQ5rfcs/
yQAWyFaH0loOadNUF13Po5ugKXNb8PKYxV1jHg+tBeCECJfDKovCNL1IrI6dGxVi6ULlSdyc+X2b
KUdA6ld9gEikvEMyATMCprNs7FABt2rLthE5eIE+v4n8HOsvOB2oaOwBIrD+Y1ZRQ8JgpVcsFDdC
/9Twsva78pHROBEvrfBES4Tfd6XhDasC8sd6oYcaJqkmVUDfdWE0mJexlUWRnWcNsi4YVqxzeohu
ykWrMkCtFYmGHO7AY7AdZRktcEe7wm0iIorVIIBmsEPW+dztvR4yi15WWvnn1uzxh0AVMNfA08lP
MNfj8l0iEwwGlmQyWIpYWa3d1V+BsGohOxWGDf9okiRv3db0K3bBvEg017lXygKcO8zoRaYpoAkb
h74717QK03NeZIq+Ix2KrBOvSyU8V9cZ/kVYGFnrxqUHNgOisbq6iCIP9C9k6C9LJULlth1CJ33O
YN33lgUsCvMUv7iPSh+rXN49BPkPFRpPM01PE09zMlgX+rZIy/RHNU1hbQ30vy/PxWD7/DxjfHNf
z/+UgHmo1BmlftIpIy2MMPTKFeP54vvCmV90ClwJAZcycQqNZSDotJ4wxtAkGfboQDFDdQGFI8kw
4E86RR7BIHCIBa4ggI3uyDP/zPZtoQnFRo9/fkpgQFeLydYITA4Zu71SE2whXEMy4QMGqmJFUo2u
wI1o24uHYGHhb6kPC9keTEinF1ZyrkVT27qV5LzN4O8Lwq8snFzVeba0hH8d1fW3shwc1BvdqgzV
l6QwV3nGr2kiLjJwzXbJv2KLZVDkUC0GHp5VJi9tvzQbm/j1x6xLPgQoye1aosjJc1y5SGdfvUC7
0Dz+zOwDcG/5egAGEAfDF8KM3Im76lSZyUJ2AXfCQR+XNTDXQTJ8wT4/blWoIetdveu4+hrEycdB
pOcyyL+w/2HvTHfjRrJt/Sr3BdhgkMHp5+GQc0pKzdIfQrYlBqcIMoKMIPn0Z9E+dts1NQq498fB
LTQaqG6XnMpMcsfea39r0XfauPacD8vwp16OjzVpoRWM3gYK6WYJlpsyqoMY72yLW3xMTMTTsBz8
2M1DbMhys4fmEdfWDE2V023QWxupdBjPbfiI0XeKu2EO9stYE3Sx9FjZDUZyY+18U1JMSjLfjda8
xXi5x3QZm86/Nd14Ow+tfGi8+a3pujrx+/BQMPvJbr1jaAsszuzpXNQYBkwRWJlX8d2grSqZxvFI
qdpjnybiPvcOM/miOH8t8vFhDj0Tz7Rm8RKa19pWa6vsnpuAvrtBp5PIIw/+kvexsakGtZRvMBMX
8Wy0n6E67So1b8PQZJ0uT6PCZ1YUDU3NXFS+jOtq0PIK3QRhWR5UYjt4JdT9QZRzvNDOHvYiDIts
CKI5RS9QVXEvbBlkTklznSnlDtFbo3uzrwbPGdD62lMbT66ZadI6AtWsoQxb1L5POhqd27HvM2wh
PnMm+9jKqZO61AKn4Qj8k7FTs6jPfj5SNCX9R+j5PkaAKp15u2Cxj6V/4dW3wdLNx8ANrizmoP1y
Ovwdth8Liz03E33h4WQSPek7ICwMCENXprT3vlSd+nDm6X2BaI0zrXksIK7FaCzPtp7muFbOUXKr
zCozuBm2jTeT4xapG9U7yuQLWkIMXxZtMi8PX+YBu8OO+lXsB+aLCh0T88ZMuHKGKOUlmkK7iopz
U1hXxUujU14UBw4ghk4qxUy/dzi2BfVy9DnfVqK7aLfCdraeHjqKA9cXxbZh2GDQSMaF7T/l6zrY
w/8TEvNULP2lzJtkppY6GfUCMQT41myJoxUES5nir5piO6hTy2dW7PvglSymkkZOOh4NvvGK9bfj
LIp9zdhx8fkVGJIDVi0ffoQ9ZAOsxd70cy0//z85ff73nSsuFLQ/P1d+JHn8/mhZf/D70UIgx6Ns
g0mE82kFL38I9cAnoPGC74RoCGXShtvxOz6B9H0wny5kRHw169Hy75PFRebBuqBEyAWe7k7d8O+c
LNHvNDdohVhtYoHg47GH7hor+bOaxRyuPT26zlmKHmfByWqsmTUxkHLV2mlEq/o6Gh23Tpmfk/V0
GZcNmWcSxPNQetchFk7Xo+gt6EGTtfcwgZxH1N3UOIof2zxq72aXm+txot1pzQz5jJHOHJzW1HeU
GHmEWod5cpiCd+wg6U7QMN+QSnoMnMMgXhlg6Ci2dFSn0nRY8TfA7QiItoZ7nzTQ0w/LLZdbR/nl
mESMC8BHpIlhKI+Xzu/Tyamc2LOrNgGNWt+07ZjfO1XEbsfOatidXUEOxwYvIP0CGAEYZCxd7Eem
lASYq/CCo61HJ9bYskjIHyYU8xsEe32R4EuNHQvp0BR8q7avfL/DAehhpn6wgJ61ca/rIEgmjDYy
NhKjeezpuX+tx9HdU93iiEWmYBqAe5Adpomh61PCPZbaWkbeUXeufMPZ6mPpyeYuhlkHcqjVa+Bj
c8lddzsTVe1nhgCFVCz0diFKBztHeyQVQfV5qBp26HxQimev6od9+BUsWVbGZJYeX9yE4cKE2hBh
mLG+Kf3/t/vR/30VYb1H/7wipO/N/7kCiv3++4qw/uD3ioBYfTzdG/c7QbCJ/9XL/qPZRApdhCRJ
3Nf/Axp8Lwnr7s4GhQW1DaeDjTv/R0lAJDDaPqweHB8PNwyo4/ydkvDbigBMfA2gRa3Cs5ooXNq/
VoQhHyvVLNy54WLa2XV5Coo6cfWc/fTJ/FFPu+aadv9eV+CdoCvGQg45xaAqHEi3v74QBNsaPHZt
bkCM1vsB+gDNvgLIJQYo4RQ1xKrASskgrqN5PPV19xA40Ic7BSDHQPbMaknqo5ZelLoiwu4CJSm2
PJBbuZHPRnVd0oZMxszt8oSp5q7DCyZO19wIu+QxbnEMmr3TpyHG/MQNWhq3S3jsWwA+lS0T4LxL
GnlAQF3Ai7mvN1h0DukITCFVNZrIgD5ZYXCO6BjFeJvPjKKP1JN3B2Dt1mrBVlve1VBi72abEh1F
GO0hAFyZvC2yNiIPeRGiVhVapw4rWTzq4QIdYYNt5FMUynenCF6Ldn6RS9vHAK15Cl3+xpP50ceM
vAGusvOjXG4Vk/iGpHwQfrErQ1okDc5/MHmfgIbVG93aQKg0sIZGTF1qjYWIGyr4hgzLK2lbnSwU
eHQoN+HcQCHs3LT369cxIA9SFWcxtWMsyHwLYmuLxwPtIExY8aAh7hrqljEmZpoAJbuz5q5J2qEP
kyB6jYY2s1FHxx5wrRppHeOCSAERBvj+qm0djB/hDHTD9r2zpUdvb/OWp73wExLMVw5A92lWNDaM
lJuaNDcQdKqN65rt0tJzUeRFPBC6jTQ+W2bQP1u+p9OuB4IMRSSa61vBlzl1F/VY+mCxCwz3sTs0
d8qMe+LVOpWu/RmGAqDDZn5sytKD9L5cOxP3Y8WAtMpFfiGN88UxDZY2E9mJJtrjeYUkqY3ZtrV3
abGpmbBFPgUu0Ha/4Z+XqntmgWJJ64t7X9cV2tOg3pnR3QaBSRw334QcrV+GSwyMGwW4RybWv/FK
FHKzhNYwJ54/yZjYU12Cg3UkhC1IVTy1A7PBiQMevZfToWnQGTozSeyc7CV1vxg72pcePBSLkGhW
604/1p4LiKYwxF5iNP5eOk6kTOvK2bsd3RFdXw12kc1h/5b75S2prXfEE9dxH6kL0Gt2Pzv6firU
AKnPpMLUZG+1Xgs6RJ9C2YjUUqDey5onWuly34yFefGrQGVT0Z2L0s4T1U07uDGg66lTV4HBGdTO
mOEZa6sqnqIq0ZUN+VOcax+3rMvrm8bxjo1l7ZeGwQlQMJYt09xuKl1+8Q3Oz8pULpQccguhfTuJ
4b1eCoMBy4q53z0bmbX3wZ5RCcXV2s1+8DZV9uvizXUSNFDZ5ua1oXfaqN0ME0UnCvDNaJq5TJyN
bacsokPMsF4zLt1pwNWSMBGXS6e3blANG5vU+Dw1feWUQPUWJs0tKcH4dNsRY/YszIsUFYTTmT4C
F8BMbWGxc491ZFKEFDOlcFrS/Kcy+uvSd62iOC5WF5CHiGGbrEDbzw2cwpxG89mfb2AcCWK6zQ/T
nThjZoutN/4E88jeTfI4P3ZJNabV1t3/dRnHMfabIo6Xj/CMGPSizvpg3V9fXuajpy1/XG508Nbl
+8iGj2Z6tUT7H5bDf/Q6iPqyA4J0NyRJ/GaJHw04s0roqzekPIFtiJvmPSr2Brj9X7+fX0+/bx8n
Pk+cgQSoDHCYX99P31N4Swizb3zvKH0AXgLX79Nfv8ZXd9SvJx++tJ/ezG9eZERXqxygXzd6ox5Z
Umd6Z38J0xCMzHmFUeNbmYFd2zi7h6swbeIrfS43jyrLs0t1MPFOpvI0pPgXU7HBf7PHv/791idd
/+5LRfYWBhAPkhjwol8/hAY7YsJnm9x4cXGVX+zMPpOn4oC1qpWM6RwfXsh2Sq76jdl5XtIeWexe
Ovy+wPWSr7/K/++N5Joi/dN38jub4H81MBp8efttG/ntx360kcg6XB/o862HdH+eLJHEAM8eElfc
lX4lDq7y75MljN+I4UAmJgXnB3oMf/Rds4RF0MM8iYwHTKQUbejfaSOxofjlKgL+HwCwxXiL0Ij1
Ylpn4p8rUzgVfTSGbLyuSjiqwiaiZ8mnY8ibPvFG+ejDYNNXQ73jImiWdyZUb11GeOTmfgFvvpo9
ItbxeID/YyjoQayGkL5B00BWk0hQE2tbrsYR2rFNUcNKgn25nRQd7CXYaMBpEumeb9qv/pO56F4i
BhrT8gOsOLG0rJLOUfSgJ2s5eB2fWJ7M4VwexqZOZye3doMlP4qIL6Co7BzTlgDPQepoPer0Ywcl
+eiUfn0OXQ5coYQm5bIuC9vZ3nQkhLNMWnYaaCiTwl3ctGlKJ3a+utRIdKwDoPp9QRJvcIaNN3VX
ocd0rNHHgkxdJghoA7agjJsdTDNXRKkoGXj/Ik1xmonJGMBcRzlnmxZHswwwW1Vg/WG768HOhgnq
IjhOfMMA2y0goHIoPnIj/Nd5qXS+6T2YNYFxYMPOFNlFcrxltXsXQt0d9x3EpeFSEt7vvL5LeM/8
Xe/Nit/5g40uio15oGM3yOnWJUZXsZd7H3U+mv36zPftyOs6XVp+M1fqCmLygTfsqredYzjArKnM
wWp9zKvYjvRwl1VL4pXdF8Od23KIXv4pHt8IedxKfz6F/lf79kXI39YOD/uNn0bQrxj8KiRhWoQJ
B8ftjxEU+w7sGnzsPH5TOsJ/wcxjw1u8xiYDqcOx8L10IPyHoPkF+YbQLigOwd8pHahRvysdWIFj
oiWws8MjtCYG/Vw6ROcttTfn6tpu3PtaqDtHeceWqks9dXD3acoOhQ3JidAdzHEwvNZ1vsm1b6Ak
jXls9/DtBLMZU0AJtzacnwnrAmj9FCsCtZDLYMNkSSP8XTwQLGuqjuyjQjpxx5o7GaA/XbgIYyKm
s9XbIm551SUwhViJNXl5CrQErmDtWLEcTH+F0eUej1T0zoFe+KlynCEWvtPj3gOc7TTBliqYU0Mt
TOIzmBUXye8Zh3ezsVoIO1Lt+87b5OFQZKoGuRDQ9h182yPYICtGT7wTrnVnLVhW5L06LysGsHjF
J7C/kOy9cU6kMBmX+4qcSOF+0exNuskQFTsh8iI1q4DVL2OFT6RuUt5Mdeosqsu6uXozCwwC0yC/
jFDlyNCZOLLxhqTO90qGN7MFv+/MM2s5jQM5TDR89Sp/L+yKxtGMgS4KvJMs5E0JO3hM9drBTOS6
9mUDeXvMSGjjK3GxRRqKQu0DSe0YxM+tUxh6iSz2eXL4RfEQC//GbZKSMLJxeuFgE6XJxvVhguhy
MWRNLas0rw2JpR2enJLt5xGbGg+aXBXy26lWgNWXkWS9C0QxVDhE/AjsmA9gICv6Qd8Vg40+mERP
hSWqWJTdtrcrWAuDexotb8Qq+Lad63gAMA9TIhQ1h2EPAGYIy4BuZ2ztJP7QH1yC97LIfhu5bZXU
OeH2TUcHfodBBy8sFYwE4nqh8nMpjNg72rrBBf4WCayjZFXwA6vJs+z1WYJ5Sq2QAuI17vtkxncd
zPMG0kYX9yrMd8CQPrW4RWOBXyWpcdJsIL7eeU6hjm1oH3RVvXRLdFx6jLeeYFthrFM/QylUdmhv
hiInsahzE0ulroZqwe2j71mRf+pZEO64C/Crstq7HKvFeHLGp94N9qt1bhd64oBK3sBA4bebUPG9
X3jwc9rsoAdMx3W13OHvNKceyjGGQyGyofChlqzMD4zV9YZE65c3uXNi+7mfkpw+KVHJRC/jGCvs
vg7KGadkwlYjZnMJ861qhmSZlHgu7LzYccbkTeV7UWxcSLhQdDfh2D6GzlJBbWDALCoSK6xD8QV1
PMubagTyUcNNh+3NXpWCxaLyWSqdcW8vob3vQ7YPSN5sffwuce+7c4yyOMDzqm5UNSyx6PmODv2u
svy0ElBkq2pAf9BYBHcaHRIgQZiqKQvSqFDpQAmgLvyDRb2bCvZaofQDmaqjJ8eDcOcrbFvudIBl
7KLaLXxvdczbfIl5Ta70ND6UwuPIJmA3LR0vdWEew3o6q3Z5VjmFUwNIetyK6hHY5oFO9m5W6n4I
fTvuR27HthBuHDVw46o+C2wpNu0cQgyQ0zmX7qXmc5NNhmSB0x2cEfa3WY0f1Mtfy4JcQ22/Asp7
01cB3D1afcpzDwa3enluGHwptA/hXa/aV9UG4BlmWI6xg7sXjB4nqxOZbnDVgN2e60cYJ70dUh5g
pkfmm5MxAerQK0X6zxH+7QhH3/3nR3iCx/t+DWPE89r/4CDHz/40BHjIXIOdlhA8hGhlvn8c5EjH
xsPEvh/JP4MLIZ4OiScWRXjCc2Cvrt5/n+TI3CYhHCqO/+2U/3vggv2ryPt1CAAHj+eKwq6A/6xm
lJ9P8qgNlmhdMV03ugSxC4+qsA/NROiBLwCck8pvH+aqwKEH93gIS3taeS1W7nCWM27ZMRkqqFDD
sQ6nOw0P+pzj0OuYD0/7alAHAwjYdXg07XwVwMHulVj8wjgV96s7a5oOfjf6yQTLXLk0Jm6hWZnV
EJ8H0bSV8Mi7IczC5msvuhroQf44mVxN9UtIN2NVhchSAAQcKfYyrxZ81dA5i4YZtnzZ3VMfFY2u
ln3skRK3W+xkhqWUrrZ+CX9/A6V4WA3/KJipV5pPPgy81RoJgAXBZ9yFZaKRFuADrMO+2d+7UwjK
DoECwEef/YJuw6Bbkty4G7aGD7iI7nDWOAIkhOzUGlAwY6cL6hL5KCL/1CLDwF7DDDxYaso13qCl
9bZG3kG4Bh+QCREIUlsiDovuS2FTL52Qk9AJD1Ela3RCPg7vfu4sV3Dcv5Wdlx9HrwS/7gEsYIWf
IQyFYNUWyJSCfk7KlZMTaoq2xtRH4vX6JYy0hL0NK5LNKnvBsFxmNA/EppldO4FpFqQrYzbiGhb4
4hyuzrMdTmkN48omxKGc5lg/JgMaTBxbNcusEoT2bJd5xm1VHktbNFu4jIc7x9PLIxoylgobVGOt
GvuM4wpeSVPXL0KidJZgd56hUre3SpL+hvlOuQ+JnE59lLupnhtxWFdzY2xRWp1yw7sVup1Oo1wa
J15aO/80haUVghKz+j137EstIpIxZroHe8YHv81Dx3+1gAN80LAZoehj3jLDPGY1RrC5RQeo1qkM
zmZcNxI4Kwa2YV7wqZusxyCnMNCBPI4Sqx+v5Drr5evUh/UiavI6CQbrTEgxHNJ1SuxbG8aMdW7E
AAlau4jrdabk63Tpr3PmQmvs/tbZM1inUPF1IHXKu+DbhIpZVaxTa73OrxGY772P0LWYrdMtQmDg
OcXAO62TL5DgdFpn4X+K+bdijq35XxTzt+YND0B5U39QyfGDPyo5RrI1ugvqi4vYp7VS/qjk9r8i
yHBYlBEf09fqF/4u54TIWcAP4dnOWBrCboc/+j6T4ZFkiCHATBbCULNqPX9rJgNX8LMoiEqOpyys
DzjzoR/h6Ui/XdfxItS60aG4tu2m2HVFvmUFPLPSNccx0DM0B0edptERW9de0BVM4w2vKAxPvP0k
qSNSZakduh4vi1w5J4XxXaTxsD4ZGV3QixonZUNoYe/vL6llpvamL6In5i1oHFGpk8lejuC2T9Kj
u1BEwHUttu3n7ikPC5EsfXhe5AytQ9R6NzbDoWgrbM2od1jCEmAUDc6+Qx8KD3fkUIaXyACk4bLE
LCjfHI9y4LHFo269LjawUcE4EOik1svZ58HTlIMvxyH8HDXiyZ/0MarJyQTNveW15yE0XQKU+IHL
3I4tAktIbo4BVvKcVxtSWC9OOSVFX2wwdgZwdnenLhDPTuhfAeurYuYhpWVCS4iL4m1o0MzxCZkG
VjBkpb+wGEIYInTktAJT/ZyFIR8zrfUMV1B7Lc2EElC4O8GcMsYccWUaNJ7FYsgWx8Cm8nuMR7rC
AUV4YjnLjZv7n52hu6/HeQMeto3dgt9M1N/MrN2XwMtxOKobfwweWJ8XWUfnZ7+E6FYar0sxr9dJ
w0uxcctZpdwJtoNcLnLiwYaw5jCR5p2t68pwcB58JglwaidPfBFdVzpwrpo82E1hcddfUYakMExt
Jjz6MxoBRERvykDDM90DHR4AOA7uoIESh8/MR60be+7EjSi3cMjzuG7F5zrwRVoN8Ck7Pdk0IcDg
daE1zLsSaQuwilefpHTfA895N8IudkVPr1aoetI9EDpbt1kFhO3R9Wr4R+YQLUheojHrD63n7xuP
wKnANjIsMNDAxJLN0+QkTuGDuPvqqObeOGRGW5eyM1+ipTYy8Wyoijamw6WnCNDCvAgG0kmwU9hF
/jqVODkUBwClKRLud846dGJd9wZ7xT2OthSHVWavCiYuXVxH0ZNwNTCNdXztKemzMiqmDJtTKKRA
iBOyDrxDAxHD9ZrbSMMm6uRuDBPgnkf+KdeKIFEDg3NTYFceBDiiQggdG3cdsNGr2RtrHbptcNrH
GXN4jnncXQfzARN6uI7qE0wz+07hvbDBQPxfMGdRTIaFvVwLgTulWsd+yJ43OXQA1mKJ1q3SgA+N
oOH+6wDNQIlLScGUSsgJYdjm+8kXV1OOZkxDcogc8YWqBjMvxIiWtl0W1AqA22Qhs2PVLIy3KjW9
V6RssbYYKavl1VlFDnmqqr2C8FGKfk76HJeBbvO3eVVHnLk/56tewiGcTNh2cgJgboakYhX1ez3i
lnG4wLUN2UVFiFNYdZgIS3vA5s09zHcf0SrWFBOuO3fVbwQvMgrPIZbjGA510fOT5UzemUD5scq2
v5o0zCywm1VZEC15Oq1S0ZjnIikk5CNm9FnLOoSsAWmpico7JnE1e7TA9rYBIEhzfOOwuMAoOi8X
kXc+NG4XQ26rl6SDhuWiUQFtixuLLX0OIApSF4TWfKPnoUpFP9Ad2qppFcZqOMLQPvSXlrrHBtqZ
ndv3+TqaEUcf8nVYc79GoamvsWjdRORzHXnKZL7ifpWosTqOo4YyO2i3daA65FjMV6VCd1cwevqn
J/jWE+Ak/vOeAOawP6SE8EM/+gHosFjFwNO9jmpAe37qB8ACrcpotDKCv+QurRndgHdgTv2mw65D
3/d+YH1+5dedjOe5SJYErf43kPSvSPxPS8J1sluHOuQFrE0GheP418lOd5OCS4+512qiNtQbvQcZ
DIStcl3Q6P1GuM4IfXR+Chw0qKqgn4HWnQaIB6m3GnGqCRuEQbLjgOocc5ufLUA3cbh0YzopfTVJ
X6WAJQRSzcZPc8RfWIny3ja3Na22fB4O2Ejf9h3qX9XPGNE6RyH10TlxwBlxYQUPqkZSUBO1Aywy
+QPGzScP/j8IasuU+FN77RXuNTF+FvXiEDT9vvYWd7/oXCYjAu0SzaYtsgIyJ+w+sGK6HU3hHTj6
HkSMfQoBUUdqeZywlIoRauTELrx2MVKUOOLu8sSeEMMSdOzRkPG1xo2ZsJrtnFHwuMMEBabPlYBo
Bp6UnXtVt/2hqakLTlB+9JqReLIEJLEmvC5bCem56K8rTwPmbQf4WkrIukEralh3ZJFEdpFfKV+s
BMO4+HFPl4/QAd+hafB5KfHhdnnLLg5cMzFT8p1hjXOuRLP3kCMY5043bxlX4bUqJ0RABQbfGloy
pCgNRVK3k4GTjjNkvRF/i0kTQZoSiA2dguJiFy7ZLl1VxH1RNlDJXdRLYwBNtG6R2XNTAZ2aGoxx
pbOt2Op+X+Dl9ic0b9CxYNnKSUqmGTkmVJUbanf5BklyTSbbwdkOwgVu4lYnrKKOy1Bd15zsh7lY
0rINP/Kl8uMKzFZmqdJN5xH2A5IH8xbjTZPZFQvxQZAZu68+2g4VKnmFUKlt5MDx1BYSdnZ4BW+R
dRJux85jGZ4JWu1sO89TtLlurFzXuiAoakXC8E77Cbx6ieZ4ExbWkFQgQWOA1l1mwYEIS1FdHjxo
otvCWcEZdTOONs+YFc4x0iQ/iQa6Q8l8uF77iB66CFpbQdbUhmX9iEqHvxrlVQ8cdkvQRxEHoIKI
CmdaSa2ck2twcrAUdksO21GAz1ha4y408BIxg6DQNBjLL3UL2cCugjzTRWvt7KHajF6T5TmHjArj
VdxGHAgUddsYqjOm3sqEqQR+nviI8bssZLpU03jrm7bOlFMR0GJOcwXD9rCDp+9j4MungWi2GTpg
wE3UyHMJf1biTn7ayN7f+7PJT74V6G2Yc3rrWONjGYnBSu1hnDArOBMhcTl2nw1+q2CxajgcqyZW
Ieu3VjnfE8uQzQSZIbF1dOCt42fGzCSO9IiNq0IIJSz+8Ccjt5Jz64AE113pug8a+m2CXe9921eH
oOI3JlCJZQVn5b3mgXMcha+fsfd4N/5wmqgFVAghOGloRgPHRMB3UTRUcSlXVKq2Tw5ejXXsqDX9
6OFlRZPVnG1jk1hHweMCeisuqyVEZlD7RQUAcmFf3otqviC85QS1BN75VUnhbSi2dQnvyKQZZJZZ
IC0TggTiRdo9V8hiCpTrbeYZXyHp2+vRKu6aKX+1xfjSUZSH0O50GtTyWBryNtW+j82QC+u7EsWG
jAT7Zhf5DVRmulJoXBe08Y3SZxWaJyTfYe9s0ZtoCsJYtAHfQ+/DvznY6AvqRifdII5jZe9gewO9
BVNJZYv+uoSqhajRCiPMFKXDJN9V7tdglssUznP/BSve1ssEn87cGT4LGuz56D3D7YbYy5bElVw+
waMPJzqwUbzpZsMcCGctWdLGD65YhSoTCQRoSpPUEUQoLcjO6v3dbPq0coBHWqW5IJT4hNg7rGrK
5tMQRruAu1ek6LYW7bcFHOj4TpOpIfjf3hsLkTynyvFDlcENIi2GTIt5P7SUZWPQwC5TX+AatnAW
jEnjzkc2NJc2AlEKuq1BDArz+S4YG56ObXnflAgNdHwZ81wFcTsvuxypCGWD4Ds1IZXGSbDGfM9H
xKHiHIM7CN4QFWLxVTdJ4fNbu5Qy+6c3+tYbgV3+894I8RKj+iPZGz/1U3MURMDdkC2EWBNAK780
R1gZ23BaYHH8lWL5IZZE/wLzgj+CII0A619kb4S/OWilkBKDvxTL7b8ne6+yy2+bI5t8De7GrxBi
lf5rczRBZIZ1O6fX9dIF837xRet+0swd8mvYgt22RbNjOcAj1+t0ZHczLWhcA5fASD1C9QaSGSOl
pc7GaKCp8lp7ZxvwpOHkojvR4o3MS5Gg4LwtvZrS1mUqlco/Nm0BV3Ze3VQ9vLBFPmRITkXaagg/
bjgvqJkRuiqEu+WIrKihs1utzpgcGvg7huPIuygmQfmkiX8pXb71m1YmYkq5XrZlj5w6bbc2NoDi
AvDyUfhij+EQOa8NuF1nsNCLwCGMarq8RZW8+H5v70ZUcuyrnBvHHprzSBexgeOKp04OhrRU/Yeb
F29jhSy51gqyYX6HoOGls9dn2oJLq2n5eXLoU8cLbDahtOyoQuoJVKcuqTsC8kxAhFrCSCZET0d3
KavMkcv7CB/JKPSRRGZLAqA0ndgqV2USMR043TROEnj4pHbfB9zaSKpE3KQdo1M9IR90t3gI7xgR
ChmzNX8c5SFc60TTdLsWhWMS1X2DQjIM/NJJ+8hQYOD6hXfcay8woCXjWoPsqZR8O1gk3IR+dyBe
+4kjqTRBatMJZ9wJSQ58TWrm/gFCnryQCf3PayWbwsmUKwp+sZZh7rYtWDyM3LX9DHonEjHA4s/w
sOKwlAb26vEzlhObwImKxIT443I07+h8VFJBmo9bPe2GmV1RnocZVLV50w/sw1godFU4v4ArvR+W
6UI0eUXez8EWy0upkSrqe8rNgoJ+KZ3pYOxifm1YX8cguZCw40Is00h38WysTD15gc19F8jQOo1B
fz+XeFuI/AX/UITX+aTAcrEFK0gQyGzAgVL7UTb4s71bgg9SCYrQhuFRD3Dstx1cgw0SJGoEg289
q0QgzH+zd17LkRvp1n2V8wI5AW9uyxuyWGTR3yBINgkPJGwCePp/oTWt0y0dzYT+a0VM6GKaZJFV
QOIze68NWkfqNsjBvoYcHH2EaTUts26cNp5ClJGM4dYQzUusyl3JbbMsvGJYQNCgXmgmNtOABnXs
BYOyAvbz4jwG4rluNRZDps5zJ3kAqB3C3zBclAnshQH64DffZW7qsvEvDwWd8SKCDtJVnr2InPSr
idobmVtvfUPBk7GTTsfkxKb+KNmiYPHzjwUokwVuq36ZsCKpZ20/Xky1rQZs6m1EY2/4pHSl3svk
lus8Q/3ehC9masrLhLdvISIPiI9hP7giugzITDRfPVeRFe9l5O+noTriHJDHoGyeHWor4FcX4Tj7
yPRuBPLtSHM+pTWd8rzepSXX5uSwdZCgyFeQgO76ntoEeELYxds6ifx1Ovi4IfrBeW36Zh8ZSXcX
eD1U1SLbUP8fnbZJ/3m0/WYqn4XJf/1oW2f/sypr5Fn/xyqAb/zxdCPLAxUmAijT8ub2/udVgP4v
0EcaIFLwFTTgPPh+rAL8f+ENslCDGnjEf3sm/mj95y2BYbHXRXDDFPnvrQJQif3x6ebxc1CcE/6A
Rpqf++vTrQqDwRZ6jzzLKh/VrM/oEWoILE0LN2nqM2QqVByYIJ5tS7a4mLNq0brCRXBB692IvjhM
IS07IL4aC4P1xMzPXdUcSEsJH2wzWXS5+awnwexSL1urK9dV4PfLatadJAhQYO+w6B28iPvYffAR
qeAWKDbOhPDIRcBCgRDuaiQtbTw8BYp7qk/kpS4jhEEi9ne6Fn4UCGIGUzvSwp1KLWLnNmtmtDrB
IWeTaSER1GQq3o6zwqZEasO4+CVojUPryAa2T3fR+jDbhBXcJOy32oK+9t1hebxrZxVPDUdo45fD
p1M6nwAXkxWdHRh9xD/+YD4XRlkcZJeVSCm9N6OPbqNZMcSvCS46v0ltmgCzd5cicsryceCcWxua
vk11qKA2CFAK9U1YUtAGjDaxG346mb4eZlxomcktzutvbq3ulJOGOzbBHg8CG5CPmqZVEgtn3Ynh
xgUvv4iBksbASfuZUgrIoKQzhZdfSBimCTDTrFd702lfIdeA7jDhnXas1qeZgOpp46OX0Ueeh4Z1
pmyHiTYEq4N/FQn5NXWRjYikT9ZNgu27HGb2xZQN2zxmIVPFib+X1RjdmqnxQEmOmgce1c7wMMOH
qfkyae5C5tC1u/vOycITD1t5mLS8hkMi0p20y7VKtDudQTTmEY/BOhuJRarFj/Omgu6y8xamYDpq
huDKpCOHlV2CWROiPIdJECychkeHo93DLGPOnKCB6zC8Zc7B6greYlb8QTI8STv+5pr5VSASZDx6
hRe/bvOFK7o3K2+YR1vmizCyV2xTIHJDdzv6VolCIdkZGnsOt2xWA55ZYZgFKjxvM0KjBoaADi+9
cgIX1h3USRh7l3wqvuAQeMSCeM7CsUcatRQcEwyBD90Rz3ArWNEMd1nUXo29uGf99dpig8D85SMN
EsdqqE+aGTwMRXIcVc6nFRiPYc7DOqqDexhrxzbhHZJGaG1MiR8p9fxTYVgvgase2DuC+w8zeAUC
kS9MrXcCH+5UnZxCWW+MYFYwuv2N0q07E0vvIg/i27rR9yjUl5YHCgHtYOeooxT2ezi2j7MNLSxs
hlD2TRRPO7POF1JD7JU247Pded42CQWQh5jyi2MOHHAlGOLNnXIAJ2zZx/Vz3eQH0++vUxN8uDY9
dgVTnR4QD/EGag9Nfab/zfMtkd0xBHoHJ0fHmGb1YnK87QyeWdPWeeugLed0CIaOkFt2k8WmLJF5
As1JLocGdZnBlGs+cTml9HKdWv25xPjLXqnVNl0/3oYaujqdakfjLeBMujVH5zrp/A/boQSVrvNg
ONa1aVUJAQ4MLQDHo0yYj7g6moAPaxfDLzaZG7Grkk2+aJg4+rqd7XIWPHrWsrDLW2fpcL11U3jR
NevdzSk4Q8O7RtgebMNQiA2+zDvdZW5YhakOh8l9N4B8rfUiA13syPVoguPKY8OaS7tNSmNct1Nw
SaopWca1fl/EfQHu2Y0/ZCRODkChNYJs+Mjxk4r6m9qPdrntfU1Ym9YtO0wmThoTwEoCEm1sQWvQ
TPlTzmg1vJ6McFy0Tl+ukSAdba++92e5WD0Lx0AxvpZT7LM77E3k+9Nz0CMcc/vm3WmBgkxdfbbi
7BShSDNRpg0o1PRZqmYW9SEj6iMNoTF0rX2LMu2682GtObPQLUHx5qF80wQik3oWw9kq0HBodfcm
Ork4QFmEbi6ZBXQpVnx+m+nZn7V11fiY2+pWquTM9cCbgAovR4032WxN2nl22WvFljV2hzGtvRRo
+HSnOYAGPFra8FAYKIbQ+jlo/qRvFQhouKtnOaCbOQgDZ4mg76DFiGfZYKEhLeSMXalY7gqUhfUs
MXTRGoLlAPM4yw/tWYiIGhFJokz20yxSFCkYr++yxVnAyHzb2DOVilf+LG8sZ6FjqtV0hbP4MRyw
f85yyH8GDt8HDhYVzF9XZZe4SWdvwp+Lsvn7fhRlBnYby0FkZ3sOJdGsmftdn2EimvMxZ/+GAZqn
Ef8uyr67tjE3/wxj/ndRxqrmO4AeVyWiefzgf0szz33+x6LMMkARsy2i9iNL+Y9QeT3A85HWTnke
as3dFL2lMMZYSMUttYvcGh3SOFLjMMy8ATihHcHRIWN1OEH2Gfya5xgG+DWmcIZdplldks6xdjaY
tZNKA/lNshQGcwdnJsrc0f0+vl5KX1BB5LoYzg0j+5sKkuWL0Jx2owdYD5aM97MVsOWChk763zwR
3UGQtG9CXRcHI4xw85LZ8QAh14al4tYXZdjw75oIKXJXlNXC7QTbd3ss0ZviLIzMxvgs7S57trWs
2IU2uVfItpq3nrEOnhgvZtxPw+8mkCW6qJe3KinWWRe3mzAO5arn6dXfRILK76NkaGwd9SKYxmHT
lmm31ae2E59W6CfRCSc3DSxMsKKmTMKE5IY4dS9R4rPmxV2DPrA1J1edPEaZDh5uKxqsTZkpD95j
1lM6rlBqZ/HREYUY6cmz8T3pjSpfG8on5CMYXhyVmW8I7MHEi8EpNiH7gcPYEQvFQmx6g/loU3AY
sXYMZ4Mz8l1/G8g+fOdKipdaMU1vQRNNn048PNei2hRhfBBzuZHrTr9Udi13sMlCfeHpHVuR0RPH
UG/Hq3Q2gdst5+JiyEuYmrEK402TtyZb+D6n7k2rJ4R72R714oOZVtFOimpcRJqi4/fqduckjXPx
IpnvW9H6D1KrnBP5I9oKLNA8RGnt8j5oNKJ0EAy/C1eJg5m1VHPs3OBPiFXd9khehGiGNUOuql0N
QUzYmCib/SiD4s7RvWZva5PzGk66u5p8N3lAgpNcuYmVXDeiSl5Y9ZQ4Mtzxqkmn8mXqBnHk4p1t
/OBGkrAOnr0pVw8F85Q1I+n4IuJBnqM+Q6mOPQ4jhGX1zaJpLILYIIK062awm1VIPJw7Fy7OzuiN
T99BgJeZB3dQ5u3ooAZBgO3on7KU06aKNbh5sqFsUMwG/jmLfxv+cjr+9Vm8Ya1Q/F/tMd/14yTW
ieMghhoEDigoU7PonH8/iTlUGXfQATsaXzFzc360x2QVeTbzXQ5wEBnfO+cf7bGNJxKJnGu78LMx
//6tzbj75+HvLJ72MVC5OvFI0OR+bY/TnL3h0AbuieHXIWyrvrhulTE6yyTvpQSDGnfT1lNNA9Q2
D4fH0p/tfKVPkhklevQymM0Fjuu4ipoiXaq226IWXeF1Z1mkFQYSzwwmlp+8c4zHFE12vB5FA7wR
xCLagBYWgXgBGnrHJvxJdaWe3rasoi9sKXc+LKvCDViIUFWFWixOaVB4iju/YusqwpdRttE5CKLY
OUfZ6J7twgNoYDEgNRcOurpyZQe5Vtw7wIQ3ATWj4sbRAw5/0UTxY0dTBKg5VU+p4Ufs/dNyF0dJ
MtIO1ddQZw+qs+/s0BpZ5RSP2pTddxbLrDKSH8Ys1HOiDiEzBtC6Tagtzfdopm/Wwjo5nYH2bnjs
othemjTnohcrkVOOhbM+zZJSX3mjYoNauNZat6In5FAeLIYUxZB9ST3OhQQe/ijib4bv3ued9alZ
SbxuSBDkZGtvXTOlD0EftlP8fKB3Mn0dyWhbpCreaRMchGrGWeSZd19lurEpi7RAY9SKxZAYu4ik
kqLv61Wu4r0ZEUNn58gN4K5OeHLSYm0kFZBgbTyY0rgNDMLzJjNCvWcZuzIF5mB4qVr642Dsx14H
xNFp37TSX3ldk0NNtgO0X802L/y3MCqPju8eG5Oxd+yx1DQn/+IG7Pbg+W+GQHyz/WmTacOeOJRT
WLP+RdawkvXk7PJiliMH8qstoR84sUoXncg/VOQPqKKLZy7plvkkLCFnHsNwed1aOnDA1itPrZ0I
evjgDAb61g5x4ISRfhdIgdqJ7oaUvdpeIlRoZunDKrLL5y4x6kUZtoeWT7Btug3W03g72Eg+Ha0q
11Nh7fN+vBkq+0lv2pPfxvcJj+MlZ+tjHkZ3EVRYVGU8nkNH7CmgzUUf1XejG9xTytxOVcctoiMd
xxYbLvw4BmZXB+cumHZjFggk9eKjrgRYJUum29GmYZh0P0OuinyeCgKJvWatgOBOh1K6Nwkc400J
lm8pu8JcEjXYoiNQV8gnv2HhPcSdR/5NE187iUR5r7lHCkt9q/mATUd2Lzo3wMrSk7dak2oz+u2N
X1vPvYi0Jbd6v0jGnHzMjnC+kYSrVJZ33SSXbeeyc8CU67ozL7wo2XSn/YOhpmInLK7OYG6vmyz+
zEZjolFxn21lXww4Ifu+BKKY1caekZ25gl51FfXoOhzMPEstt6yNqpKbOHQIA0rv8qw/UXeB64pc
/JBJuo5z/2yERbVxMmY7ShLkV9VQ86rCuVc6Pgat1r4Cw3rVzOxDM+19pUx6rrBltiOMT6sRj03i
+ss8zx9z1Rprw+8u49jq29jJX8rROtqiHEFIMpPHbu1ag3NrJh7BgHGjgbKKqndT4ZE2bNhbs92w
s6trR8wEypRJVz+916bxUnm+ufM1RvvSd89T18N7bCN0lDW6DATVxQJz9weOpWavue0lKloWt1LL
dgQejIvOTRPOWvNVOtalzYE0K9CsG2IG1Ar8ckLcpSwwsGmnHmnnGnLKZz+N1JY2XX5iEP0ZlASo
poW/7AEFkuVYsVnRqH2RX3yAr8mXekN2kBYo+xQPNj64phrAChnRyjSqO1XQTI4egl4dQHAaFwOf
U4xHzxxXsZ2MqzGJ5HXuqv2YB695MbDRE+SxsfsMIS5ytco6+XDcghoqSKa1XQSb0DLHnVPU1b6U
1iZF/buKXCfbeJQ9C87DaVsk1Wvt2RCuBavzYFsyPrmNBAh2u4x9fGFKW/ht7m8GATeNgVNw6xSG
3LiVvofvfYU7BclynnhbZpb4SJGCLQOaiAMRtN9S7JObCCzwwZAm6mLEmuwRwmIXFcX0MKmcz0aN
YmMjziZFl881BKO9sNt+Dxcawo3uscaxQRNn/iHwp6OIpxwwNrOmIEVQnM8Bfe7FE65zNTVM3aIO
KTSzmLPsonuiVUceiHq2waIZL7pI1ERqtB9OhXcoB7m1HTwgUaOOuQfb4ECKa3RuY+NMua+t0jLu
t1JOR9axVxhPV6yUzj2Gk7WZUMUazIshrNcn304+PNTrWRPQOLk+I0OCa3Dt2rj8vHGNBQO0y1TB
cNLUo96lb2UqzlkdX1JcpkuCQpx1UuvOorbkZ8a2K8w1i8Rgi11tbPEjEf6sVKa9SHj2i76LT4Hf
oazWtX6lqjpYlkF6LDx2v8mQhI9VlGEWDV4cBlsLg1sXXP4XbdeLbQoytNqT/E4cavOPwDb8NaT2
FL569tiVHjytGJ6QIcTtpEltJbL4WsfggxYuPWY1lYjFM9UWPQeYrn8OXoMwIrjygjHfavF4YElJ
VHEqFoldPOVjfRoKg95xzAnbAyTPB3qoGv1oZ6StSu9Lkdu6cJhmk/6wC5rkE8DWpunKdttAlm8k
/6pK8aglGrETx5xI2LpzERqnb36XvIOjXsoe71dSu3u0bvNV44XLxqkPU6OYoqV8PDlTU7ifx2Hi
eo4DgxGlATQVAOmC3v0SJyFfzAHe54g46kxfWCRUIeH34i2V2ysV2D4ewElQ6cCFcg6TDcG1k/EN
WNdF4Ksn3eSHy6HEL5YcUzYIWzNvP+gOn0I3YMGJ6Fdzc4TPxaNu8sAj4xGQp44lyzNP0JseaqUY
DTYkaAlZnWXsX0GV8FcmgvxOsLl1E5uwXSvf0p0wIzRmoq/KSUmS6ITJOdug8mMOPwHRwi9xyfuK
P80rWNdTdy68LMaPZc7VQ713zeigxuQr0u14EyrvhqTibTltG7CJhretx2KlD1eeSO8JWgWrZpHx
wTRjS3Y09m6XQsac3k1vzlsO3z0nvrKMjm1roEV8WNUbDuQZPK9ApEutr4/cPvfhyIqDWdqjLl10
4njKmnrt7YjG3hlIC/s2XQWeKW8JUs7xARexg1LbsnXxFPVlqYFFJIPnAFdL5ewgVO/1dM+9GGmy
7NdCs2OxsgIITSFNdky6QXooMWEvhpSGlfnfdvJDhqul2Ag3QTSRCrWJrXJl5Wm3CvryGfHOtC68
vmLsEeow3BPybIqLshy0ACbirqR+smJQIDmFlwiYEPi2v49c6w0UyHmISaiIXBQCUdzmZFZxh6Sp
hbNO9fpCMKTmcTJSF2o82IiNdPj85s+O2rzzWdb70VVVk0GXSWs1tO6pb2Mwmu7V7JIk2DZ502Hu
Nr51BcmE6qaU7zxbEJRmGcmc3kMTx9ah7bTPiTCM7ZSAwB17b2f13RlzDFyTOXCGVmJBXaNWTlB8
q1W+MwF3LNFV0pg2zpVVkQiT9uuixcdi56Xace5e+QoU2WjzsEOuuOt67ujE4AVx0i9TK6Mf1kGj
NahIkXVupUG16+vpa1rBaY5uUol70R4XasBpWSNi9L3+JLCxsS4iAtVOviGNRUin4wYa41MZaieb
xLqs6E+WceOwNoGSv6prER56rXwiZWTfRvFL67YP0i9RJEzaGtb74LgXyGNL6t7TWBmvsYRR0ghO
xjzcT6M77ZMue+UXfIjmMSvjqGAdtRJ/YC5erbzsn/KpDzF1J8eBHIRV05PdMubTtepH3BiO/ix7
DTZYeqtU8ZZKD4dR03Il+C+ZXUJ8j55yoob+aej/vfKmv/3rhn6bfRbFnyerGt/0o59nssq8EmnW
d+rQ9878937eIJTTs/ifbtsw2JGA/ejn2ZFrkIx+33fzTz/6eeDrngHBiP/ov/nl/obSHcL5nyar
THs1h5/peZb1p8kqAQ2uMXSef2PkAKY5tieJd3gW6JiiiIy1HREA8Mr+qL7Fe4ycJ5+VPRMSHyfx
r+rCT3lcpO8pS5+RYqE32nAzWgScL6SZDbOYadoXg1mtu96/pU39miMElghqeBwaW4HiMWxiepVq
q6GE9FBEDlLsBApJu0aCC9r7KkzUbTqLKJ22Zobl7FyNTEbaXbTCaokQl2wWFJhYB04GFVA8SzPV
LNLstHE3zrLNQujvCTrOAazDvvbcZ3So+6lWH5yH18irMnvWEjsvPoaidhaGsoD9rEdvlc6S0WQW
jyIqqW4mFlVg9wgL7vUdCN9jP0tO1Sw+TU1Ro0dDkKqZHn8t/u5VU05PTAyuiWYjbGoWs9azrNVg
JBBZiMbNLtzUs/RVr0MXgrf+5qGKRS/Qr6pZKAuV6SVHOYtVm6q/vCEgAwZoHtibfJbZYivYq1l4
68eoOHUIhitNMRQvZ4GunKW69L75Ej8FiMLxNrfTfYNTb4EI5tuYQ4zXZskvYU8suqH+meH4hkAP
qIauf7WGOOjohbH8XiWzgDiYpcT9d1HxLC8uZ6HxOEuOB7THExrkXBTqmc8TsP7rlJOBQeoqjiO0
q8kBVMZFzWLmGp1fswL0VxGXbBQdj7E4BfpOdEYZ4QtqU786DaHt7rPGszjx+2gbex7YR7R//rWB
ZujgpmW/hWBS7nlfpLa2APVviSD1LwEyXn+ZjfrAOrpkHNDbo7VllWplq6wbwq0+lvCf3aI2rtws
65680vF2wGe053/mm9/nmzowo78+DtE7Ivf/1v75RJy/7/cTEcg3E8xZkOr4MPiQj/5+IoITx+Jj
M9szre9box8nIhjgmdqEvtWcta26wfLqf3dN4J8I1fvfuejfOBH5Ob+IW4nQND3f93R4dNCj/oic
bDsk2ySbqXOnHUIQDuNd2Wx/elPOv7EQf068+A0z/CsjUQOkbflwk+CT8/f+OkTV2fEmSdrIs6n8
hDm7ZTf4ayLTKMxzhMeS+790hvR2KmPHO81Be8+cEEZ662n2uIy0fDDw98tlQ9JSFZHjEmRrx4zX
U6wzEAB/PY7ZOSDXLisF+Xs+WvTy0mqQSMdIX0+VezfEzQ6gGuyDnJiouNVXtlUd2KncCC99z8b0
TeAW6aTco5p/RudCOR9HN2HbrD0j27sRWyJ9qL/obcjlidUq48RCRksikwAEuiAnaFf11Jgd6w2Y
PJXZoDEvnkNH25PPg61TlweSkj+zxo8QRVgIZPLPQGIo9HIJY0ob8Lg09Qax5VXQumrlFfNiXM0J
Bq72PjTFgQiGnOFWcd/r4YGcvod64O424vYpzcdmGY3qo3Gsw2jVxaZK5HURDWrlV64JrSKwl0FZ
X+oY34hrQWEKR/M6D5FstY15mykEp1PfPYvEhLpAcBHPb7wlRvsFXIbpS2yUeLnLc1FaR1fVFmqA
Kl5kaZXsHA0bEbODcDkkXbGOJaR1vSe5w5LTk04eosnHuSg7cWcrgdTEyO5V7mPR9NIXUdXWwlBy
TwBVcspapS+RAx0aEucXml4R3+GFV2H7YSblxof9EefKWFpDRYeWFU/BhBMrqDwGTqF+qL2uXrW9
u51c+0PGiEDUyOLQtT68Jo9WXhJ/eTnlc2gRgli1/j1ary8rVkutij/jiiEhCPZdZICh0iF3lGF+
7o3mXU8S0vMsxsJwo/dZTG6c1beb2JuFYiZcDKtp1doSmr+0i+6MwOGhDztsK1mLhjOq59n1JRza
CpB72C2LABmLhbug5wk4zaez7yUXA3Up0hBaIr9/StmVwZ11vpLEf7X1dLacArA1hxSvaBCl10XO
3itMYrnkXHkIx+pSWLaERmXehJnrrqIyUlysw2ufZFw9qsIrrHg/yJ14SZ3g3ul5fvdJ8Qm039n0
tfaQhhl9Ci7WQcyww7BlfiW+WuG94HpC20BAh2vqbCWGANENjh+nNLB0j+leGjMGV1l1Fewk74YP
T7u6t0M1LagruMr9LH1ICUzY29OQnB1T3VeVwTNIfuYI/eJUZhjB5TcCyBhLM6RCKsI0LVUI2Os4
ebKsFssJORqN81j462E7RmNylZf0q0Lc1V3iz5VGVuFryVGD9zjQhTuUq9qX5bLJbHvBSGcZmhLE
sHltIb6nFiOXG2OR5N6c/c6npnSfI8/+jLWhWnCsVUzF9U2eSVyD45Fy9k0M3VG1MWby7iXsLKw3
k3lXF/oaC/ZdqZt7pYs7DEArR4SPRuq8NJ7NZkc7+io8www7E+V3PTXtZmLADXLpG81aRk+arNKm
Tdf4WpYp1mi3qaFVMeWrZX9yURPXVZqxDphWbEkUWyLa9MQTzGrFzdjWjznBOevAaD4bQFpGNTyJ
5tPuuBJ7x92YFoa6ZYB8Gd1doChik24UYq31o/vohixtq6o2lkmIE972ZCtPKUyEvLRwWU/QqPqC
2Mgs4dxapKUlx0WOo3LbjmW99DLqMs/MH9Oq2UDNe1Yqe2wq8YKgz7zVOns688CrNnVWvVWGvo9q
89sQeDeEN578zA9nSxVyUGZ+q7jqvaVIsniTT7l/b+XeeB3m0SUOw3e2DWKp0i471jSKFJstVqKC
ObPVRi+Fwaeoovs4LpOVb4pD1zfPHTlnjBnNfBPMRGuW3w1WLZ495NRwBhB376yaTk43ovXEvZMw
sh1HX63DGooXd3nzFPhNt7JaN99xN3urKmtXltP3u15v1ZbJFLmheTluVaFFVHs4LMKWiT0jOHun
WLHvqGUJ+mvvGiuam9Nt0s8FqghAyLFDmhz9nlL7udaHS2jXzh7a/HPpY7K0wik4/efHLpvTn57s
lA6GhhzFm5+4BgaauUn7mdbkZJ00PKPqziWhQo7Otv7e4be26RaS/0ZB/rWKmF+LTo+YYhQ1NH7o
iH99raYph9ZQjTp7wTpIH6txE4nH//zn/LeXmP/9p6hetAVZprpMnSU3JlKLRdS/WvLy//EiPo2m
S8WmG3PV9fOLNBGApaRQ6mzW91V5NQgIa/v//BJ//lh4q356iT9YrVsmuKFuDepseZe82kxkh1CF
FO5bMv6XV2Kr/ocL4NdXmn+Tn96xLOrt3IH1cK5GUrwKVlXGocsZnKz7/DAR1fSf/7D5F/+1yNM9
siygDmsQzNjo//pybZgMU93qig7oWW+RCDr3YXQc8396jd9GLyZV8V/3Gpe34n8Wn3Oqzp+7jfk7
f+82tH/NcgVuQ+N7ENGvdgMHeRqLJihDmIG4SX/MX5x/AYsy/i2Y+E6f/jF+cf41Ewj4vxwoc7Qq
fw885P569QMaQD+nY9qzDewGho1O7pdrsulG2yZXVpxcG+ZmhkY+RptaZA67d8JBNqk77gTrt2US
5bf4AnmWxTUUnwrxw4heIUtaBhlM5mXSgWdxGFYbagzY5XuKJWTzTnTRI1GwrwiZrkfCeSZC/65w
RtdrqyR7W5oPoV9jw8qTVUjONplCAKwr88PBJN27TrMMTO3W19B5KS+w2YjUT9rgfsHUGTaJkpec
4bOr53QVKQiRTrgTrLDq2eogHcS6hF7L9DohcpqWRmyKKu2YVNRbNc+6rcBkwtzlh+j7INyeZ+KT
Yg2/oiF4ld9H5sn38TlQvXmWXjZted9ViSaZd+hWuIKLwJoH1ZnU63k8MbJX1Dp3WY3murcLtUhF
cu6SEXB/QX5H6WFf05JvrUskE/3ZIojRNpntKWMfTdmDol+RE+53jFnG8uIOerognO81yRoGHX5t
AMrBXtfgvXOCpjlUWvFeGVFSo3iPSm2Nrl2HIZBbxm2VkvFSRK69UmN6r0WsRl3gNs0AkGfQrOcC
dwmu9vJGIkm+YocwLgneXReuf2OGcl9k5anRUUTU0Sbz3QNk3mcXeyfFhznuSwcDfGFpe/ZytHD8
3WuzpW4JgJ4ttIwGkN/nCfpffMCZDQuGtw+pHGUVuL38JvC0+8zL+k0uKVzoUo9WHuNea1UVP6YN
iv91nTn4snUFeMoYb7VmSheaQ8GbzCL+WmqXEOV4UBGuO9XmDTArAsaNHbP5Wztx90E2bdO+A9sy
Nau+De9bL7+hlt8agzGP0ugS2GU2Si6ixCZkPYde4Zb34IrB7XmPuZhQO9TNbujCe1lMV7WKL3Xe
PdOn7mhGGKZnkVw6FT6SKTZZFyh7Q+KBsRnQzDlFqWFnYVzVdclnQmvZ1/xuYgztNSEr5MoYZPdO
7tac7FejJjK70HCuddn1FAZ3OVzw/Wi34RWxeRf8hu+FaMhiv687XccC6t+GUbKSgBYKOR1qR3/U
/EQBVk22TVxDZ0poXknnQ5b7mndhTGntbCSJjAuzkqtIhvFSF87EFare/ABBvpaT+OVMJzZAN6g8
nwxDHctGUC4P7Lfsd1NqzkoLkssURrNDgchIdRXZ+mNWafpaMzA9kjq8jFNxCjR/m+TFCU2ot4C0
8N4HLNpN2AU+IbkLs8+OWcaX6T7Ve9di9sj3XthdQeo48pXTehhM5IAlGhkmtZmx0WNCW5yJcPe7
iFm0AWA+fEliY13YCRsqW/ua4J6R5vLS+Gqj/J7IFX4F03tFiH6NBkkswdauTL1btq25q0P5PLpI
aYycbBrWVVee0d15epXRYqpsWdfmc9zVe9UQ6Cd6NriehZ4i3GOTvjUKmI/j1F/bvYqWIMW2QVF7
ex8paJQyevDSp8RIr0KteXALqS2Y3N61kbUiEuk6ArKRah1zAYuWn88il/2HlXOroduKe+NmyPJu
H47QH5K432VGdax8446L5FB29AuYiG+Iwd30Lj1p1/XP8A9XEzraTd9oTITUUfj6UZgaWysl9tZo
7bSabTgChnxSOwXVEojWFfL7bZtNt22f0tvl1bVp1uxhuWQ94Ed5kz2QG/+KHuvGqux9W1ufDYz5
qHT2uhk99k18sb3mnji+bGE74JFsyL+9955qcq/nKG4mpgvU5Fdj+//YO7PluI02275KvwAcQGI+
d6cKVaiZs0TyBkFKJOZ5SuDpzwL1S5bctk+4b9tXjrCiOBQLmd+w99oFBFL2mq02niO24PFcPMtM
v3OzkD3rlDNZruEtWqpvDPG2qKorlmjH2HbeP67k/+0JF3jzGVr+dW2yJxD+v1cly2u+VyWa+Ztl
MP7EYOj8QeWJAJSDHKE78CH7g2T0oyohw8LC9G9btk5FybrmxwxUN3+z4RV9J94va5x/MAMFvPhL
7Yqin4poEdvTKVG8glT6tSzRo6zSwsHuLnlqRduyzGJPljmToptJDDOL9diNSAbcGNGgRpg3hnTc
mFonNMwcYirGtTHFenYklq+erjDRmSyjnR7dNjYyadWgM0yCwzGvM7tBvmBkMc5eJUBF7imBWxbP
c2P1xrXd925TeDbAECjNpjm2ktOzTtoXewbNN2PSgefHwl02g9syZosaP2kr9xzVarQPoSzxPI7G
Q11iqHdwwtR9CT/JSImv1+pxOOKcmLZIM4uLnaX9LWbq8VUlmrTCqxiFr4PRyG2G2vsUW2nJoKoM
LoliGlt8axESQo1AG2fUpxvuHqDyfTme0wLhvIZNx2uQIZYjAtOVFKJ5gedBnGmH+mAdoWHZR2bS
3YuxRq0QFeYXZ85cf4iykfke5BUsRn6mGPqtM6swrxedZtar0kBFxK7H7DrEf5Y6XRosnduUVLut
UWkszdsWLyPDVYAM89Dt6kDFSKNVoHpdNxLP+lzN19E8J1AGRS9eUyZAx75uw/3EYuZRN1sdkppA
S1QxlpidvL/q+/QLb2mxr11Lu9PamHzkhDC/szEitOLaji4T3AAvnMz4YlJy+i4AnU0yu85lrpkD
5HXBvGECthCxYvpC4Zid8Da1n/q87EHUJQWu2VhwGGoZwsmoTZEWBgxNZW3dMO5Ttkwj22s91isP
3UB5RHo0HNs2PaDgmblxFGdbm5N8H40o2zlVHh5kGVPcUYko5ziw1EMet4TXlRM6xq7rLVDyTuFX
IdpGA9PoSpoN/dks3OCQNYr1iaHlZ0yz4iQUp7rixw+2ClfHuS3Fcqg36tU0RwSVYdLfhzGqlRIr
JsO0arqNGuruoR3rzRT3chMOc7BtcfaG3r8n67cNEw3a35ysefXWxC/Zn5yuvO7H6coaaQkMw2X4
sVfnnPy+YdLo38imtDnYPsCxvOp7z8daStdtlZXPh2PpZ7qc+A1XBpJ3soW+BRL9o9NV/3V0A5Kc
yFzo5PSPgsU7WZi/nq52RN0ssZ2cpY6ue6ulNHbnygat9q7Oc2EyYCergZmujgZ33pVWmo4FS5KE
uZVlpLeBQBnjYGLcNdpgTyvdEl+oe9p16QYvxEbepUGaX08pzpp6tsSWPjZky6G259Ky3qPKYc6a
w73WCsBkCB6BYVC7wq0YbTiTmnmaUafslSLrWPKgDJ3W0kInn+A8uVSqhkgZwRdq5fSIMbDw2mqc
to3JDqOraUcyIhnXJECiv8YrcDGG6ZCa8ckpu+CYx1m6TRUXHQ2SAoeNCkHPIO2mrXRt9KRLE1Mz
2V9rqU3HKJmD1k5PQqChPGXM7CpLFgc76u81K1IZcaOKQn1VrUN3Ui5NYn0ZC8q1urQ1H/L3+5wk
z0isMKUag5bvxwA6SWUk0wPKQnrkJjqHwEj2fZS8deEsnlh2oLrGB7AdrKz27DbDTcvOGNyHW7hH
3LnaxhpV5WBUUj2ZcdH5cSQA8jUcKo1t3zjgSO/YAOzHaLpXKri3pUFGu+qUN7aFRJRES/AiqgEA
vmR3N6eo3Qx1RJkwpcpJi3rM11MTmU9DFSJvV3Vy6oNJ63ywZ0t08dw0VnMV8bcbIPLF50njbFwp
oRYgz074Su4a0xYID8clthhAvmLuaT7EvSL6LN4DzqNnGQr3KsbFW69KMunptHgTgiuX7htFWOq+
D5qbngTifC3M5zsg7HQi/55e306vv51ZHd+aP1ELaT9Nq5bUbM2C4AR78j/F3/eTS6hMntARmUyl
LN2yqSa/n1wUfx8L62WQRBW47Ky/j6sM6kJMQ6ptMrAixvCfuX/4yX4aaS7TKmbncLx5LGF0ssL+
w8GlVaGqRXN3seHDEeYRNxjnI5F5dm24Pr3ISxuE47ZemINAnBJDOeSt06M2t2ORPMUCVfpVFJR9
vUceUuWsYJJR3VSK2dtEzTTNeF2M1aXS0/geGSnO5AgjIt7oueXRipJnPTMpQQu4OJUaUG2G7AoA
2xRLgSqMGYLfx11bm+AQ90ag5Ljktc7O2qc8woBOHBAWbBSpem+1cbsVhYy1Q56TFHQXzjyCbLCD
hFUekaWk4ISIiYjKZr7QWR45RImvpFO9GetA84fU0jajrGdfJRHoE7T+Xtul7mTNG52pXkjMmjtL
/JloYjnbAwWpi1EpSPir2Tr3UxuVXiVK6y62LEZXiMjRyKLG8rUqSru7VM9gQcDMyq6ksCLh15g/
N1NIjMw8Gi4xEfjkk2Ylo9Le49fR1c2/j+i3R5Tb9q8LjGNchO2fVBe86Ed1AWnNNkyeRc3ChLLc
3j89o7pG98S02aIH497//ohav8GJcBybLs2xPp7DH4/o0rrx1NqCasWmNPlHrZu9bLF+3zosjyhF
DO5BQPYEZqvG8gj/tOTQAr0jIdc2LyCl9eYBnxqUsXUx5ZoXgfICU4MOLT63TqqTjmFJdHdjdqMq
OqhVPcsR78suXne2GqDLdRj57fOymb3JHkCA9GbLA9W2wQGQKQrwMivn9KbEiVfhyAMX8SxH0bEb
1y+TVdSesdj3Zltipaqj19JG4iUWkx81WASlXFlL/H+oQdJ1LtLJG/EGRlrwSLeBW5AgLowQ2YeL
MIX1vM4Xa+FgNhiLAGbb0lqXPaOOs6FMkBaBksRGHEDzyMaN2hF/HRRD9SpgaodAQAneyIO1VhXb
ViJyKPNkVyfKLob8tpJN8arqTULHRXoGsvWHOFS+iHNVTOfSAGmi27w92cyuOgvutdq5yRn2utPg
J/ON1lkP49B+thww2lhW3PO/D+LHg7iQBP76QVz2O6c+bv/r6pWb4E/GKcvLf3kkWaQ47rLj/RiM
/HgkyY83GGKAdGKSQc39+zO5XJu8hiUdsxbstDzIv1+b4AZ4GTm27gel6p8U/HydXx/J5QY22T0L
vh6XMD3Hz49kI5a22rJD1CjhqhXH2Ij+P6tGw1q+xu+PvYNYzWFYo5vYwGlu+KV+/R45pBi3yiZ5
CVN7X0Q9xichkmZr55IuQ1qjZy+XC9miXDNKxY2jdQ4mO5TlJW4z1zrbje22exDQ9blvFKde5x9X
F64gVW6MjytNrTTWO1irNmU1qtUujfJ8g3tV9eVyETYlcL+R8sZvIqPewK8nktliFFsM1nWyXKRV
mqtev1yusRJmYtEZJIpffNy/RTNH7wTfD3iEYgDIJN2pysbNJkMwPiA5Qt1olcGiKTJyVb8DmMTU
u6plfdOBdm7iet7OyuIsldGjXmnHCIQguxAFI4NLTvRQ+6yzTmNvaYQXKBcICp/MVL8nEvyuSedT
WAyfLDMHf2LVEFZiA5ODsQmN+hRFyV4Lw3SvNT1KZWkdRwRujpqD6wlLLESS4LIgXs3ldGAk/lRh
CF5nmQ05AclwE1vJzi2iUy/VVwh7kForcuKNAJOok2lvUVZm3uRyt7PUWXUuoBXcb/m2k9L0Cz2Y
j8SAHIdA8WWe7jolDn2Yeo0X6wS/zxVZO/E5H019E0DowbFa+fPc7IMmvo3MOvOTAhxlqKT7Zi6D
VQjTqGglAcxRfkeQ0THS0UEpk2p9mQZSQKaGyHHKz62s+KgSqb5BbxSuCNDxclITZVWfR4OTVUto
iVKshmy9SaMIE/PONCZoX9Lod2TgmYBmXeHlAewYderOtUVkAHvG/ZDKyS8z9Y1wqa8aQB6fRVN+
1N180f/QJt5UeMLYBiyWLY1mEkyccnDTRANJq35JlQjcqHLpNPuhixQ/i7ilnKlBY0G2lK6d5ty5
GYpi6ybCS5pg02oKHumRmPpM4ErvhFfrvPFmYe9adfiszdB0KvIXSPt9nq3hXKpYcGNC6M1MvZ75
ooPGHmOhdhma31fKi2i1N0WR+9KYTzppQoCTEWiXznywcwBYZhJuGtt8qGeNtZx8HYjEQsDVsWBL
T6aYrsMAJSU0dWsVpDgyQvGks272mlE7wd6BcmlcwaSYQGyuo7nXV+Zcb+1IuXdk+2DgeJFhCuor
QkU1sPrEvoYOaYiPmIr3lOs0iIP2qVKie9IoHki1I+pz3Nph9S5seahd5SClimE7sQ514voZmhjA
V62nlxrlcm90t8aYHPj9jibh8nqvJKtJz1gRlqwhhV4ll9yQ6U4qucCDj46+JdiqWctpCh7oqNNb
yTh2JSW0NgO4HdTjLvJqhdDcJAO4HpEftaoFyviRx+I0gB+7AE1lt5w1Q4AnprKWJ4zGg4wztxs2
Th04r+CuCMgwrU9KK6zN0FqXICLOKsiqYdUZLtjTSE9Xw4QuilkgYC5h3nYqtH29hr4cDljONC05
gk++y6sU4vvIZGWo2nBLNsmjZd0l/OW9uldmz15kpY6eWecA/fxGzlUMbKl8NcIE9wE8Nx459sOG
eY9ZIeV9nFI/nMIT3oJ5NaXBTdqVr71010kAzjYhJCtQ1LvA4q+sV88gbJA4Jrsh6d7h113RyyTb
EAXjSh+zJ8iU28iyn0l1XUGhg1cHPHsVwAFddW3hrJIFBxLg8J/idZJhF6jFV+Qs0q9q00uK4QnI
nW8aXcVKtH9uO2NbNfyZ05GKyP7MqOeT2RefTY30elcmdzKbToU77rqa2ZAyJp/DaNrHI4+olOcB
Hk6YB2QYZ9Zt181XZms9yci8lBgiHWP4PM4gaUeyNO152A4G/DSpLixDFtgQCRj7wg5JLN9IEBxK
1IgY7ON92MpoE+lFiYveuiMDhHcwY8MeFvZ9PcSHDhQfyGv1iZvgWAdEAChxcR3Hc7crk/CzOdUs
UdVmZ+b6huPGU3p51gt+e0gEJweXeZOGB60zn1z44sFcrisnhcHl7JjdMhgPcsS26Jod8DUgD/ps
hgzRBy9qlx54r714xjbgCvdg9NNNixKZgUp7SFRl15jWc8CSjVy1lUFgDUmWHpKOmVISJm0eR9eq
Id8DdYSBz6YN7gJbtjk+w4b066C+h0owe2lR7oYQ/ILj5tMJ4RiAVkEgW/xsBeVRRRHOvKbstkUO
kL00jPEakVm0cppQJ3OteURhF24V1bmCl4pxs6jrY6vZ4bqLZL41LetLTOKuV6uh8jhWFp8XHMTE
y1XBSodH9pWq3vaEThuMIEGcx6gNvi37vsj/E76V19+KjZ9l7b9ONZcSxDV06CBUISynNOuPnUdq
anleBMolSR6s9FPqvhqm/1MJ+D/4Fkul9VNzM/EpttKeb6HC7LHsq766QkT799/jD7Kt//waIFio
DXWEQ3/4NYTop3x04/CKvojD8WoGrS/vFcX7+2/za5/27d0iQ1AYgumsYS9o1Z9/lRCuvm6nQ3jV
s8OocQm3guewfuiN63HQVlbbgF77N6Pum1RM47P4163E6SV9+5OWntd87x+EoElQMceBNeea1Kmu
f/QP+m+0+PTmOgtRpus/LQxcoDuaUG1h84/qR7v/vX9wfrPYxjIjs3kOlt7in/QP+tLa/FTd09Qv
4wQae4p7lUZmwbP9/GFhVM6Apy7Mq3TIwqMS5nVwJ2VKij3Bj6k/GqSrTDZQyhqdNcS/bG80CPjN
XjF3aYAqIJ8EQsdRZfCeAETbShJFVoa9hGPiIXdMDBljEjerlBRnxU1I+56DmpNb3Vo5mE5EvVt3
dt7MBKrUMAHsCahfsZZF4bEAopwAU1Y+qMoLX7kDtCwGiMvZwl5uFwrziGc7A8s8IzwfwTTXC69Z
XcjNxHEM6wKYczdrF7d13+D3gGd3ruba2aPjvQMB4wPPelQWKnTBUVmDiabBiPfgzx+XsgL0GjI0
8yGMIUuzb4lY8EKb1sBOsyrc6061SdSAQit76Rc+9TSQMpV2MKuB+gAfA2PNvp1Q0wa7tw3iul5Y
12kjsOJllxp7NX728FyDxW7AY3ewTDveaPgSRPOV40hiWXXIF6Z2XnY7E8i2isDUXajb7ky4VrpI
5CqI3Lo9HWYQ3U4T3UwLszvqkn2/ULzrheftTkxUFsJ3tbC+KVN2rIefUoadLEHLtak38zacCJoJ
q+gL6VnNelro4YU2+XB/D9nCFSdV+1IspPFxYY4T2/CpCiJjozfvwNfUnbXwydkVcOmalscI+l1Z
GOYcilf1AoWbF775YNf3zkI8V0Cfw+q9ycJ2R/gptLCBS7GDkm6GRcqVDzl9KuaDA0rdpsclXRy6
OprzJwPcOhykZ6rNmxppOTuEp7GiImwAtJNrA4ZmTGFotlSUKBxTLlJAEgvXHcC7XEjvtHIUjFW4
TYDATwsNnmtna4OHn5hQl/ATFnJrbLWvAyLcE+IA1iP5YvLrMFxl3rhY//j9YQJNix+QkDC8gQMm
V5tixIYOlHMaeKhDsVHUAS9Ol3d8xo+4ioOO67qLt65ChU2lTlXJRIq6fFCvZh6Gm8lJbD9VHLCb
RkuJM4qDrif6GoQCZSevmeNKgdSG3MaWaok6b8BXia6SWCNtwrOox3KPp8RcmXUZHxxHzozPzXED
yqLDpAXtRx2G7QjvAu7bFYgSJPFCO+skBa5oVm6w7YZemyWX2qJGFdpnNBbTXaMp6VNBStUKGl97
rbO40YKm2jgks64aS0+hBoSrwYAULIuKOD0UE3SyDp8bAfLfLmgOtLEfKPMNWo0S5LUynVOBeNHF
DdOzMVv1GTYREbevTa/4GrSn1UCQXmHRrBimc1Ac3TxoYeZ4ZZXAgse29SxYD9BzIbsnndVaGcvM
DWkkxA/yn7ZKlQGL6mb1S62JxyTPg61LGMJmbEbHL2bJqZRmpl/m9GotMVqM3unQNbH8fQMrpzUL
UGtFfjaOl5gnCnJef0jc5iYa+a1VxSSmsjxqk+5Dgew2pQsJIJkb9Aaus5YR9Bbd6fkLzZBo0B4A
KZu2eZHfRGZswO1Gcgsy6YhODslapfqxmT4BivB7pb2b02FYZRn032hsNoWWntu+wf/c5yQI2w1I
w2pn9e17qAeRZ3J5eNB8eWBxsYizI/P7vE2ykxsN17AQW6o+uLJ5iaoxBBaNPuQzU9TtaFTHPnDe
ZCk0vEH5oUtHlAWa9G2IPx8X47+CrWUO/tcVwl308qdh5MurftQIDBKRfmsOLgiu4F8i66gRQO5S
JkCNRzfO9fyfuT+21aWkYAxiOYZKTgJf8D81AohU5JuIED4EYLzc/Cc1gqn/UbJFHgzSbSoOalbB
0o/94M81AtYWVa8whVyrmQ1VxujRQxnjJ4ZeHIm1clVFtMQtXUmaCbnC3L6rJzK+8KYj0ZXOW9kv
DQuWoxSlNCxwx5t0VvptOHMp6Tsn67dWF2xyqe3Gkf/mpFyNdBzIdp5aEy5fzEJAp8NrZf2Cles8
df2bTf7j6Oob4lMYJWjVuZbGFxj+dM0udL8WFhoRk/0uqZpd47rHlvkJtKztDDGG9UW00szhZIny
wR6HyyiinhGVEfvRLF6yRt0ycH2M1MHc2gHUv6rOJ7/RMpJayBSDGt0eTMk80QmqI372nasnmzRK
7oKhA42NFHgzVPKmQEe+ap1qO1rAiOArqUfdFmI9OyNRvQUYWSW3r1w9+ypipmuTgFwaw3BnbBbc
N1n5nlW99NQC7hjwk3Nq4LaDO89RO1QZN5htrjHgTez1nU2qAJgyOyZyY/bQmQ3r0ZqEJtQBUcNE
rXBcTPcKWg2zO3Pg3tdR74tO3sQyVjb9MiihN/HV2XkHS8vgThQ3MipQNzjuU5JotxP4IcCupQ2x
Ts/Xk6Xfz3n8RKEIimlh0TgptU4MAwcJcFKr7y00lF0yoysTcT9topYoOVZIN30XfY4Sfv5wgoYw
hzDbrMrY9Rajk6rQDQTR/VuZpHul5aoNG850KIWA0Ug4g26Ac7ClKqL6K4voEZnWrWwMyTkKbHbW
e4jfdgqEDaxCNxF2PBK/R4hVh+IgTw0fWRgJrA6zioC/e0uUAlKwlZpXT1ofn7okPjWxG+9RPTCA
tLrYM0RBvdXCP8kVHcdgV/mBXl6KyD0hQIMlAMaF2Wd8UZPyqU5qRCUZs8U+bgBdF2tr5AcdByTu
Wjbsak29FgI7pAl2hkSCYxP2+7aoHnpl8Mu2QFBbbhGxuRiVUfSF7eBuDGtc1C5IUhx1eGT8AR1W
YOOTPpjsiekMZIzCIl164reCO1mS50VQ2HDnpNmWvJZ6vnTDOVDi7aS66BaLK80srsUQ7JgRXSk9
E8KBbZPImE720Iv6EvK6WPIgrARNm5LHxBArUcDUDHhmwRctyHpeO5bImVb1lperw3uUSlZZuW5v
RLU8qmn7KhOmAaXzbpOOty8RVq4BKLi+Vpj7SGOwMqMKbxAM69gbC1f6TAbDjSl16F3kK1AeOfq2
oQIIZdQdAHol23wwvvYmw6c+Sr+W+vBYz/0X3B0JNHaUOaE+Xk/9Em0Tw/GdOqvbcBzBiWc2JZoj
VOHuuOQQeAtEjzxAvLGrIu/2ZpEn1lZnQGg+DGoKYD8yGiayxlTxLNUFAhpbNvPG6UOpbZxCMSTU
T6HDFXK0ibwK3ZzjCzr2qb9z1Vzr7ka3UfQjrPTyOJq4JR4b0PnDVdpVO4iO2hpiRrZh+Wds49gk
A1KdX6B03LZYVsAXyoNhFP22URrpO4p1NNlxeqhzjaU8+lKXJeqIzkLTnRiPZGU562hgTq7hZD7o
JR9mQEgoRzEn0eSXz1VgvGAiEV7nJERWzyQSUhOsdSwl8BJH5rwqZKuma6C+QXyfKgDtsYvus1LO
rBxvlKA/wvx4HuIRQb6+JgkpWbUae4mwMrEK6/LAcM9UoTi5dvUSp+WttdiMOrFkQ7KSRhU53qki
uQSte1KS6SmLxPtMaCTHv/meDvmnQo09ZT6ISSaeQeBeEDa3qeToUSOieaUnsRZE9llNM9VzZfky
hjN2b/K8JPzndY0AfcWH8WLZ6exZphtuVHBtLPNoVGyT0EvZn2d1OrqmDNa8CxXZeFS6LfN4XwcN
ta5ID7PdGI94wxCOKdM9EK7ZDD+LBmsOoY+Bh1OeoWvqjnxziOBu6u4gh8ItkBSj+kiC1ejI8iqX
1bixy/FUOZ1Ysb+Aw6XZV/FYnMF85mtZoYVix9HmLSlC3YvljtMG4dTdxC5pM+cEcMJCqdY4IB6C
vm+9fiw+swg/JErKz9jPjz3V6JanjtCzbi5XmEWVdVN2b63rPnBAb9UqO2G/BUQa6jus/A8MP4mJ
tOWaMIUFQXk9ONWta5avMRcdKxD1YqisEEyeu6EwAj+YtSWPu9mHCknpU0e3IEw0Ibg19645LXsp
3M2OqP3WZNcdG+0VgQnXVCJb4g3Jgdd2WIEB3/aCD2BvELytEpVG6FvtuWlg+wrr+rUNWcojR80v
FEXzLRE5e7Dg7pqYryuVzo3hWHfoCwAKteUe7FY+ZDhv2GNxCXJkbYEehliStWNGYvca8nRIB1Rk
gLrFtaXBaVVaJGhdoeb7WZBKOkBUZ91QB+vE1veGEV9HffJJAW23VQi+Ys5Krglcgt2cCx4J07kW
zTCjJdBzzyrlF0KvP+tmfQUh98ts6F8kIeBVaz2WafhImqnldXq8D/LqUS1huRkA2R1x1BOFdcyU
rtUsOopmfAnzzO9t4Ngo5QiRuoHRDSasU2EKLIc43QRnfbT+t+z+2PFrTFf/uuw+vbTt258p4njV
97KbuKjFnGkRUM6s9GOx/WM0R0W+/G8qb2S0PyvivpXdC0dbhScDTYGp3ffRnPsbw1aLr8h87lux
/k+cEvg9/zCaY0osqPAZBBqqAZbr17J76F3Jns0arybUK/YmGgJWRfA0JwTxcQSbLzh2c8oMf0qG
If2k9RrrL4R8cbev5niJNbdwBrW47udNIkU3k2NULfEAY8F0mg/xCHgkq8iKI+8N7xJ3bbOTlha6
798usqltwaQw3TcCLyAh3vWyqhwt0v2URXRWW6GYuQDTEajkXOK0JnhguSRzEXJhGot3cxU4H9r6
lBv143JthtAwHzKNfKYtmSx7hHvc8oVldODyh2kndS7x91F35DZMcChswjDBt01GlooZS4YHJXCy
1xiklueGsCBWUzUNGyXDjzFgeoRnizRZzVkvIucxXwcTk8Q85+AU1EmJmImEhm9O0bs1KmQUF847
A0Zj1eUhGc4V/1YpCQ7NoQenx0l+jEJgmc4yywjjXKyQLYdsFBVEPTZ1poAqBbeaI3zVqIqKiImN
FwHF6s5pUGJwERYvmrNYD+YyPFSNkl0bUxat8Jy6PhXrW2rPpq9npD6zFDT8tuzijUqcPNNSG4w3
kQ3XmMvaNfHHe4xlYpXX9bhxlJLBqaO/RdD9dqiW+Fgs4cs5moINUgkCjS3ltUpJE7PmrF8z1KKq
ISLbHoPAr2g2sIgxb2VXShpN1gnbL8u8PbimmnhCiZIzPzMVFUGVh3Qc1jGptx6jaiYt9jjduG5g
+qNb5pu2j8wVxHQIsI3hrMY+AJw4N/yYjv6YFSnlW03KddNQjQTLKV3aGYV5BV6yB9LgA2Svb6Cq
UGOFY3djxwwC50mruVkniCeYIrLtrLpy0w44iltDVhup2f1ygdabQBbpTss4MRFW5rt/j81vxybb
oL85Nsv2v/5vEb5lb+2frDV46Y+zEzUx+wym/wKF2i9ZArjMXLxnbKDgcAnWGD9GFrrxG0IiIBk/
dFG/n53iQ2jMsWrCkCdw7x+Z33/dFy7LEfRVy7bFtl3OcHX595+WeQnCA2cs3OTS55vZxHsd+Ub9
+ac35k8Whkw5/nA+L98Fn4WJLtPA82H+Yc9Wk7VMD2Uml65M4swrHZW8d5fxB8Z2mvREx2taMlI+
2aFToECIcOHPwXFg6n+rVtFNFhO2ZUbxaVRVVhaagi6FvNRVpsXqWg2j/SjyfT9E2EjdXdVrJ3Ue
b2hFz/VcHiXe6LgJD2qSLjqNkJx2tXa39nK8BD2w0Vi4XzUJnshKc/6RxoJxYv8eo1+G9G/RezdL
R8YIeqLDIaUK/3lgHUZlzv1glLbXKaSHJ67AZNbP3Bop9dS6EcanQHdt385M/VnkpCHgTWX+qaaR
tYn6uqK1mUAIlKUG8cUB278LXejb+ExBqjLQdS7W1E5MGAGIQ/hzomhFhIrufJpFTSZ6LTK/UWbL
9LVyhI6zRhim2vW6N/NuClYqCYpXDkKPM1+/8toYQdWCDCqVwncYcnpWzyoAPxq0eduJd3pmpIce
u5dzzfdr9WdzCu32KKZyKLlG9dvSbkx5HWloIWomR0e3sewDWKnwCa+P8RlbLjr0bMKs0BW9sXcw
+TVr5njjvHO4kRlKjK37wEyBmAdU2BvSBxZjsIzWWU8sQR2G034Q5nBx+56cXt7zEzDt9qVlvyUn
OoRJOmLl1gwd4DttUO6jaCU88BZGGAoBOkW31NxbLHDaivkxTN+JFqCscqyJqeGRBo5CPv7s5Eyz
+NMNnkVHtGk6pLBoWigCMhkfLDIFNzaTer/rMm1duIFxaaMBG+9Ut76lDzu0V9CspGhvQmbr3DD5
mRjTM3TvYps38Y1RmnuHotkLrGxXxoTxhbp6jTX7DsHU8ADjyHkHrMZKLvWsUVrvZdx7Zk5mclBr
96rSb0OrI82vTDeukm9Th0G5ZGHQWtXXtu2gcTRvUzJ9QjjrNfpwcFEesPzEWjT7hlTPkzN4utvt
0ECeZrhhYTO8qmbP5kzZZqPG/QMGv5++FHiVw/JLoPaaN1oZBn6bzLHUHJ5MK37NZsvYWG3aHlia
LNqU+SRysddDcbaASox9+lTx52s7nVG6Y2+CwdqSJbfr1flJBu0G4YqgX69XhC/jImwLdZ+Y0Cq1
iRm8bV/zO96aPaYiSYPCigzhkTGo8TkyLJDIgbjpsqI9j3V3DIXkw9xpflbTS9MY8SnLaVJ5iFRg
EcJlfkQkgVPpJ6Z+n0k0XqemfdeL8KaoqxMe1fUg3FPeDzeRy4JOVBsRkMkRhpKhSkqufETSc9+U
5Tps1EuqpM9lqj2jkjyADziWmXNIeu1mHjUvg6ZeZtnZNJJ1ndXTcbZtajGKBIdsgDq1dz2DNMzw
8SqSpLbN48Ep52lfz0VxIN3iaz4FNtm7BWLDkPA9hjipX7sMypDI3c4TGUt/f/KSPPPfT16sKh/M
Rjxh/PfX8z2aNCIkrQxUcp2KDWlJ08YeptTLyZ04dbmOJHUA9V9GOVXT/KZVdXtT16l678xOtiql
vO2b5KTKwEtdG+hI59eR9Q7rIPSqCmIcOZfEkk7qtpz5TGdBDFLebNcjBenKYPjj2U63g8f9SkZJ
v46T9pPAebeBXEUsoQpGLivWY71u5V6rGIt2QeFrSeMLAhIzQaB2bn+dsvwOgOGhh1U/t9mh7gGH
VuUJeZbrd+MEfnmKdwJl1Lol1tEK4DhHRuKH3H5eq7a3xtQzSoqsgxq5PNc4SoAZaowoG/kAacAA
vsHWVUziymBEAiHLwmsXp+ehmi9Rm+zT0fRNSGtenNX7oEhdpGFkAuQOPTERMmZYnbIQlIZdiKsY
DEHW5zvuNZiGFSPbcmq3ZdJcpUl2a9iItIZiyDyrUOI1VIlV0DTXsd4OXj4zAG2a5AFwARpS+f/Y
O4/eOJIua/+VweyzkTYyE5j5FuUti050m0SJEtN7n79+nqBa3RTlvgZmMYvGC7yQoCaLrIqMuHHv
Oc8Jz65q78OOxTSwQB3mznFcylgE3Ckp/mntMUpHgtlJdXTNDVOAI638T7lrH9RS7TDLKZ88TUyz
AgWcaDEsx+SxbZVC7mXNIbTFg64mK1UdSc5gYjmmukai9xjjJ/dPYDm0BehhmXoTORuSFdo7iBr9
Hq1+dUyoZH/DhXqvz6ZEEEDnSFYiaANlzrsSgVlgj388JaEA9aER7Sq9/Y0++zuxD7wgDfmGawmu
nHQkvn0UDIGp03F9/yJB46uIU9iGm7C4rvqIlUBouihRrC5/8wDq306E+EXeveo7tVRb0Mw0DUU5
qmN2gx8VjQh/4FR84HZH5hnGC3pt1r3wjG3XksbUDUBTkqyX8Q5hPkeR/ZAr9iFsTHUOMxIQTa99
dALUb6mKxsuBXOLH495OzEfh0RPVEkO0rKYsZ1hhZ0uHbLWFVkC0Q3w+btvBNj7mWdSs0I4YyzAM
nxPW6rJURbBgBx7pfwp1zpX6pjUlQUaJPzAw1repDxZ1bD4xi91wKN3WVbUSdV/T9Yo2hhoo6Duo
UJI+y9bj1KrzkjEOmlqLK1Q4XOtBhks0JGHZ8MUMaPueRf9S1jRW6yLcVqayQY1xO0zRvanGO6vJ
0SlIKnHoGXjdm5DeZWtt4ynaI8hYZKOnL4xEBZboxeyy6n2ngjMJo/ToBMM6q5greRMrWF3GjZ/i
ei8WeYRavJgiZ1El3rEgvQbG8UbLAcE4/nCDN40CrlBu24aQJsNo1PlkN2ulCFFAt/lZ+OWxUtOr
Estc1QwNzd1dZwG47yyDTin62ELTPmRjsBk8mrFd1V4UgjOSRKgt97rPTqm2c1hHtM/MtV+YBxva
ym+W2+/W+Lv5Y29SYugAso/RIbv0L5QVDJU7QhC3AHcODkfP/FnvZ2gDjtlTv//1i8sJ6xuB1Nel
jq8IS5aOAVL+cG/uEnjmHBLnTeVI+t8sO+jzYtWCiNor9/ZKXaofTsr8cN8tI9RLZ/4vuRgP6mwX
rrwLggHT3/w03x58X34YQ6W8xGLONcp655Ic6bPjHZNBi+plYZBBqN5X3Zer70/Flt/uWd+/hvSD
vPmFJ2hIShAkAYfrZ7/auOPVr9/RH/4OcNEwrJlMAIx3n2Y6QP0h0JjDW7ksyUyuLGrOLzvUv2ID
nf3959f3Iyfh8/cXd/lFf13cZdMTwD/nEqwZINlv9IiAsInyYwTN5/LFSPi31sDFtORi9UVwyN7/
1739tR2KJxEFI0Gu6AC0fyI1kJLHNw8bakQTZRTwGg0SiErz4N3aKPPSbJwgCi7LNkJdjcSc1qJl
nzR6VhVZSK99R0x6sgkJXFR1uQHK7uTIzlWtMM7I8dtrBxM6yoY+neGdqXkjdUlkRaLsdUKEvJ0W
RCMGX3YUzA5xFqbADMyg6EghI7AAXIc1JWSD1a4nO2WZDXC5GwUK8rZB2DOicGjJpoNdj5/C7mWq
aRJZUIsH7pKb0q9cwoxB7s5E2SfViVBmCrHWYEyx9EmMpbnngN2aGlJTrRBu0+sn/u/S19iZf7H0
z58+V+fv1778qjdrn70TQsYrDhHd65u1D8vRZPXBgDeA0EgJzld/rf2HTRuJCAuqLPyvbxv+4g9b
anAdvsDQ6AD9Iy3ue6cdq98B2QS33UDsAy1E/hBvd15F1cZabzT/5LkpnRxSopoazkNCcJTRJPdF
rJAFi5RhIlrKlhlTWepTtbYbvIGfTZlC1bsWRUEPrsNO9gPMjtnkRtDJOwYDTEVlqTJrZK6VQ8CV
KpOuvBCDmBkWz1pbkFDhtBdNy3LXukdBTJZGXJYlc7NCP3gSbrJQuDffUcWqm4yLi5/23tz2rG7B
j52vWqK48pBMLuZwj0w8s0Up87rIDaLVrAhzRbrnS9fXn/Hak5SDgnbp5EzsaTDc5HFwRQ7aeSIS
TJFxH65MCcstmhkxwWGWTBBrSeqZFSTWzWo7/+gQMxYQN5ZaKlFhPb9iK7PI6kK7VAgnixL/SNrs
PpKpZVFlkZkR6pdWFF2qmTHMwjBpmNo2wzyhsF4LE8tPV/fPxG7BUkINMosDh+5zYGEUVqPbjgg1
TMKIG9Sm5FdK7ANs9ZuawLU01a7qrK9WUUKIoUIoW0A4W9AM+yIP1LmNIUJ6O7a+VmBoy1EFYjvK
Z3lrEcMU1s6CHNPpA4mf2cYlpRkstx0hxCUjDlhCtCJx+BOTkXHnd4FGJJSKOlOmyxm9oywLAudE
SfCcicxobD3vapSpdAHU9dXoU0i6SQo5WabXZTLHLhfKOpdU7tDm/lY+4eIg78o35CAooC/j2+Qq
EYxny4Q8k9g6svI8EvdKUOTshDOuhM8oCAjukxl7YKTSZSJz9wYC+BK73wq/Ko6gxolp8kE+w79a
RSG5fSoBfqGnNctOZvrpenlNzyNY2Ii5F5FM/sNkY12oMg2wgiI399vpua1UY1bULTdTmR4YyRzB
ViYKhhHZgtPoHJH7ugtnEJ+rogPh7WoXWd9kc6NhKdPOGLBohWTd+bRkISPeZEQZdrYkGtI+QJhl
J5umHlAx+P0Nkqt669HwsE1SEfsU9x+KdVS8MjOxJDwRfh7CDzMxN6ShPOIC/MhFf23LxEV9qI9K
qsjzyYFoTizjFJQfR9cc+fDt0l5ktSuuUG435g5vEsKzGYs3XA4VvDyjJ5wyuB98nnk9dnL6hi2j
c3tYjUZjXNp9+thnyDI8J2SaVjfY3KzxbqDVRFMAaSj6LUBhJJblOUTFOM6JHmn7NSnZS7qjqJMr
xPda4Is94Q9kc3O8ogzJbjFtnipRYB51ERrk2UvYlDe6EWwz3dl3DrCaJtpPU7DW6RkFSnBUI9Tk
+cg8hwONcVRlXnOYdcSGlt2qHLS9Y9DwpA+yBb+vL2k7P/auv6l7c89s7EU09qqOCU/ISZnNvXTc
5cp41uX9psRZNSuHpofF34kdrqyVM/gDurvIbpr7zC+7fDUEhTmRWVDlNwZn7h1dnJ6mnI5ZTqh1
V20MgKtPfpxbu6bGY3qZ4IlGV1Aq5pPnC907RhaGhtSNm0XrevcaTTkERzpLw5PCC9bLxszxQfYR
ct2edbe0CvpdrMLHFu/pBNcIAZvYBGLykNwho0X4ga0r966caToNWdvMQT1Pc0wUl4nwuWHCi1qm
Rcj2hBQJhXL04lf2VSWwKyhwRUfs6RsCMZK5XdjXtDdppXV3pUUUGU/x2vGAf7gtxYk6XbpmuG/j
0ZoXhXrWBvbxXAZ2w0bQ8AzDwPTqTZkoIWvNO42xqiOBIvgDcSTBxQxK420m4+hqIzvbeYc2R0fs
ZZNZF8bRR50MO0i+Hwc4pxmm4NlEyp1nEndHKzpGqQ1mdjhktMwxCjtI4LNpTaNhrXQOofSE53Wk
6AnS9EBs00sy4OuTs6dxV5lpMnovkSF8dtrfpDKWL5ABfZWM6ssMHJSEnqazSA9Bo4BPGUn2MzpV
m6c9Iz+d1L8wshg8V/bBK8rLXAYDAt5j0IL2vwz0C1OGB1o+kZlVRVgFuYLYKi9zcgYVEt7muSru
I6d7jnqiCHu0RL0MJ6QdsfcIzbBKh3FkeEIqlc518gwLGWyIimwVuirJig7xrUQfko/oo4LLtVmL
pyWDFzeHxzvLRuiidGVtF82mRo6i6Nxq1ctoRQNjbiTDFjFvCP7DYVWRw0hx68/bEFtmSEYjdFz2
Z1wjcUekrRLekF91Llt7qzMQjUlH6gh7jA0+apXYp0rmQNoEQqaa/zly3Y1FUGSu8K8e0ZFNR4gc
UZKpHvxbT35xdhmUVz+vJyUkYlWds+ewfv4RIoIv/lpWYvFizMltlpEjijbJSPpLR2LAhIO39EVF
8iox+busxPAJGc39+6u+6kiYrXKfsrBkIS8RmMf+0Z3q/ZWKlzcJOOJ/fFOCjL4tKnGbq07kVRNu
w/vS8cjTaH7TgpTf4Q0gwlL5riocKGHqrs5LvGsGToUniqEwtFM9KOggVha27tr6RJTDmw/gBxPX
d42J715HNhbeNCZyhT5+FVrayZJXterQ259+/QL6u9bEd6/wrl3rayUpZfi4TvrAqNL8YLsvHFJz
VyGFsmPLpFfZPRbtpg0vG5gHWvg5Cla+f6nnV0124/cSU7cXlr90MDj75lUb3fSEYQzun/KEn/Zo
5BD9l+85t5y374URKl7TV/K9AM+AVqMs7lvGBIhwTj3ACM9jixlfbIVxFX8km3T+67fq1Rf4/kPX
YI8IXIPkj752iN98GDQGtaZT7fEE9iPUkJhUKA9xpDY4x8yymBM+lbXbyHF2FYJtq+2vtaQXSI/Y
STtVmeZYlqA1F63aUV6qu95t0Nwk6YOeGrveU0nJ1JVI+zAYKaiP2I2Il3Xw9kTRkp10WwA817ty
pTUjFPAR2f6pE+ESBcwsB0/XCpghg3uZ6pfwPlZe+1B7CTrt29p3jtylOJDJHmVcr7OJGhY6+okc
chJRY+s2LxAJCwNefElSOTGnrdYebDVd9sVmLB/qKJ2NigH9NdtrjXkVRcdoSNddhpUA9OysMCYD
J9BtA4kPk/os6ghtskLfXGBOop50UsqfOHlsqBfTdGJYbXlMKH3z8OtP6HvXxrcPvvnucQGhSize
UE8ndW1svO10aO6NtbOtTrg3DvBb5wTPLtz5uDLmu2qXrvLF8KhscSmt1bU4Urd/oQ39dM3Kh+f9
inm7TdB5ertkTdQHdiqXLEAJDPgZGeL1rFyV6m+2I7n0f/U67zY8J0ynJIBifiICK7kdPpU+AqY5
vkXh/eYhkFFz373U24fgXauU4KOkMuCqnAJSFC7BZ7TDHG5dXy8xK/qn/ne/2o92QBqm9Chkjhw2
8m/fwlSkg20z2DiR+EjE8cdOufz1ovnRBvj2Bd69d2QF2Fnn6/qJ0V2LG6VXGGLGv/mAfvci73ZZ
d3AFlzdexO32U7lrxK0unn79e/zoSHr7e7zbHkfO6qpKLf2k82wPSY8g7ho5kBsMX36X/+1u2zF8
rvI6f2n+S37n55w8Xzomzf/79q/1l7/DRFicm/M3fyFvGCD+VUs06PXnuk340i8Pnvwv/3//8T8+
v36X27H4/N//ef6UAlAN66YKnxuOly//tv303//5p/GdMubn5dHxTH7dj7/oTVlEY5iOMnMKG33t
t2XRKwFcWKTz6ICw/u62OX9wjMpCBc7cn375v8siGZ1owtRi1okk/R+1mrGxf/Pw0m0DmIf+10Ri
y0/BN/z2YXJQoUkC1XSCXHFXGrSDEoaYZC+w/WtTunJKsQZEsrVGhfGle0cYFdbZFg9W6orbyDGP
Rt5sUw4kgrXYwm07xe8borv4kOQuuHJdvfKVrNo23BNdYjwi5aOOyRK1q2Z0wd72unQgyY6ECIGv
blNjP1qmbdReqRhoScQWN30sp3jdeAL3gUYyMxZFgJeoHPLbcVTuSNL6YNAxmqk6V1a1ov2ijKcg
dHYaSYRjUD9XE5yfmLASP1Kvi0hHqK/c6V2dLYKGi4fXSD1ARZSil72MFTzvQNdWMEj8BekVoFD0
4dRU2rlM6KVYndEuINZ+Kvt0WjQq4hZ3cJa+2pA7nwcagTLC9gpi0sdtP+TKHKvxXmvtkxFz6dGC
/UR6CoxPG6t0gHpG7/ZVV9wHqvuomDbhjIlxFef1srHSuziEnV1F04em6lddqxUXmtdzlc5fdFVj
CBleu61s2BnpofBTIgpGwkXavZJ3L2pFx45QGXuuG0aLWxofraKQimAkMSkiClF+gZiTwaIvPJ3Z
pcWA76SjIkZzWjKobmBzBHk/b2Ribx4hx0pRDi+dOJ7m2VBoc6Haz8Ho7zIDd3zjRSrJK2iqHJ0L
nbHBQ3XyElC8BlNnYPFVWaBuFm26bqiL45mVpFujqeZ1bR2bAauYkeMIDLJuZarexxhUS5xQRpsY
/6JsOPuCo1L6svLERaaDM68P8DkHhnJWK0JEqw7flhYjO4FvAJbZOSLIhG6k1u2KUlYckt4gLTCr
bqCymBd6QxiDpvvozmw3WkwVQSrdMBH5l5jc0mHP0MzElUGue8L6J+7D4c5pbpWyvkO6uVFb/a7v
8DD5Qa0umlrXmHLq0QFZOd0vLK7LwCLtyusiLIsDRB+CNL31qGnqRTEY+hXhlrTvMH64JsVU7+/S
uCYxpdTPDDwtnPFjeLINvcdmaa5GJ121Td0jrwqTudVnH8c6X+ldiOeCXGaXOD8/4POMkjE5cQXC
1JV+ufz+tGb50VFF+ceUUsgZgPQcvK1ZCmMghpkAjlOSfojNTxaGwt9JRH7wEszW4Hqq7JGqrrIV
v32JsfCHGsuaecI018aXY3GbuV9Kwf/tQ2r9Ob84p5/rbw+l/8tnlKx5f35GXSJJOtffH1Lyq/46
pFQYLOBPMCMIbukSbvjX3Z1xKFJkEjMQ975ONr+OhPBXY8dA2wPG5GuY8NdDCnKLa2OJgsVoMjJi
VPr1pL78UqRyyP90+cGIf39ImRiCUUyz+BhDsEi+XR2IljJmmCP3vKRv4g2bGTc6p4yPEUGd5lRf
OcF07/EM6WWTrHvfvUe4V89SDJtW7q9dUGazMB4+VE1Bzy+vrkSX8/Cp2P7paKXD1hjqxdRCBFAe
c5+sW38VOP5Ji1ymJ8wm5sKSiGVtQmhVC8TE4/QpkZDgUZaHpuc8Mn5Nlo6hIL3pm8cpTze9bvgL
w+ouw74xliW7Cf+u7qdu4M5GfhFudjFr7eQuU7jFpZX6OSzql37SPznIUjj4yECt9OEmdYZ+Hg/m
Yz8q93goBdFK0r6J57Gb3ItMjONegVkvNHpxGAZJW4CNZnOq84f6xfJak/+QQ7DTSJ5gv6fJKK/G
XAXSAL3olBvPavxgjZeYk0HXqXOiP6sN4fPBwrMJhO+NfjTnVqwOKVAJtDOLginutqqNxj1rIeOR
ZThU6YbdO+AsxI7Anl8uOehb8HGYFVQPuAjUHQwMOsMkVZoaDL2rOESk1WGUpofg1f4wJdVVJy0R
HGvlrJA2CR3g9ayW1olAmihSaadIS0xn0mCBVLUHhIfpAkNovGykEQNiGIlT0pwhpE2DtWnOImnd
IOhsTtRPvgM0C/ctNsOjJ60epJHVu8AnyHeQRpCMvn69KKU9RAkgvmlx+6JL60gZlO28lHYSDV9J
h5QK+IaL3lGaTuiZMB6URhR6T59daU1padAuM2lXqfCtJNLAAjI/uXQMP16immW0oozh0tXg15vS
/BJ3tbV2gvIzCAAXew4a9lKaZWxpm+GdY9gurTQO1mAUjdhrSFjjvZGWm0yab4xXHw4jqZjlhDmn
GDO8Jsz76EPh/yGBtNr30s7j9zQZ3CAIZ4VEkxSNSDDTByaDFesFWo85M/EGaaSjrOtXv5AqrUOR
WwSzignxRzXlCA88BAO9NBv5aUUMTGF2mFalFymStqQoazEoSatSFekMCSZ4L8vg1cs0SFuTizEp
ekkoJzcOOoirXJqScTHU8PgntdobRTiv1OE2UTSf0WOC6shw41WelHejQni0OnnkgEFqW9YB9WNX
P+KpvE9yjOok1ffLIAUO3qU5IBsVg5c9Rndall9GZR0+je6EuDjwg8PYOg4qyAbpGFCkjFQvC0Ht
PM/sckv+M/DQ7qlVvVXvO0RiucpLHzU11Wr4aCjRLjGTB+kfWxu1gr8+reQm4h55K7YtmP+c51Rp
WRdN6twi474stWAHUMieZVV+Yavmsy7c+y5RgMhUw2UzkbblVNUmn+qbenI/oMb1AC2DOilb8puj
MUQwF45rQwfeSllkMr/O9r1fzysnuPYp+Wa2T+kJmqDcW/iphyiSNjd9E+bBLra9k2P0R2UwSkme
cHhSmIllLLYZlUWGEdoNP0ZOlj2JuIk2vtGFCM+hzgz4rnaCqHmID/iuTSv96NboG1OV+G1hlJd5
r9yIuu7XEZEJOz9rqdIxhC7jsXf4kRS6YUpDSNvAnuTlvX+VAuKf1TwuV6+OrUklCr2SL9pIsH3E
NH6tohy8TpijLhydLDh2mHYNVhO5ujW468LUxuUUBVD4WsZWqmeP6wHk1tKrQwOmPN0ld4rETFTW
Sz36wAHNaUti3UklqCw1ooPVwrQ1elVngGwkSwOM34qsHtI6bEtdJzhlF6aaA4gSA/DHwpqFAVwo
Lwz1tW4MbPURP22Q8tTqfS+VznTKRAAqYCzYpVQJsO8zflOr6ixZXPqMUzSxViJ8eVFKAVuSQoQ+
Btcd29Sfcth/Sx3ZYP15qSOv40Ve/0D/Ir/ua7GD4dWQTDkcrWxlBHG9KXbUPwiSNb7c1CUw5mut
Y9h/wHvXtL8CwCiBv9Y6NgQag9s79ZFJnYJe5V1t88ta511P+1X+wu2eTDDTwEBGMfxtrRNVSqzb
kx6cUhXw0jHQG+tp0FTM4VaVZf5lzsx0N7WleBKByUHtKmR+zvpB6cF62vWdG5j5jeuG1jSPjLbP
V0ZmN/e10WpMkpGjLEUQwboKlbtB5541+JM5T3Q9nuuDuHScbN362qntyNJNRkkZOOuBZ/L8XYva
4WAVKpSMNOSuiIJDi8Vy6LxFq1Q7JLYgOmrJh606sB3qeI7LCk1wz+mPY6NGU5uZGCeICKUEXSVZ
N8yUzGbLbd2t6VfVrOvJdE/FtdlZ12kotEVsYBHwhosJSOfC7biCZ+VNYehPgRMRVkpdscqyqJ3h
wJ3WTuimcwxN2ARM6zoS9qFzahrp5OGILDmQ1r6HmYFwwNOdhVnbBMNUgFXSvnDmxRRfd2XxoTSn
4mhUneT6MratJCyuSseaLEXJF0tAuTUgeOZD5ieHjEJjsosHAiiILNXUYtGq1eeprkZoXnKPqNtN
UkdrlcGHxry9sO2IkbY7h/k8kMyjrxhmwmCLeA/YMPq53znWJsz4k9kN7Sxz87sMygeD1SvHDBZO
kTxrcXArcrz9TROZB8/ytnDQrsICqVBn2cEcFiEU6lYcfAyLXJfN60CIW7MiGgdB9CeRZ/sJv1cx
OvhtVIcZdmbbM3Qj0Sz3h33GEKNRe0B0ebZOQgUbjdlO80YjlbHM7iIBjUaIPlwxe1+KornJLNHP
lZ5TJ1CdlVna3UUrZT32WDOnqMxtE4v0Dl/WwAbfXk0d13bLCC4ygulnpaKiUBrbD9UYffQ6mRwa
AJawTHVlV8690J0HmwJdp/eSpD5eCfljqN21MhJI5k2nJA5Rd+gr17tkseYXZtceEje+nEbxFAqU
JBmJ76tqCJGjIHjYqsW4bwTLTrOiQ67DZQePho3buVdAQM8aqLVzLQKQoVThKu7jC6tIT4Zb7U1X
XHY1qpZGQvp821wpRvlkwiwNLB0wMyxvkdu7ohOnMewNWh10YVy8N11Jn8yrb53I/iiU4ViJ9rPu
pbd1Y28BTR2iLta2amCTnpC4FBY5nwM23k+JRkalPuFhdoYEqFkmTvzyggDZ4KGsoEpqanrSPe0S
vfmqdOOPiuLNndxVZ3YA+yw10kuZ+82Qng5b2mT3gUBjTIeAhFEVRISStAA2KLpnHkzOuZ2mZ0zR
VNBjcqXV3kOi5OMcNgAmd/wnrjMdkqw5tlqMLoebiEjPNM52k8WL9vpVxH0l8dxtUJDimZB5aZgb
UFnxKvSSY0sbk6LayVZjnEESkvGAGiWHFexclKT7UKuyK9rrXr0bOk06q7IOjrAxLVy3xOoWOfdt
mjG2ylNovSU2I+BCUEsQL2GlyXJSXgZTvxxGc4egWrsIeLDmfObWKYMYPrM6RhGobob7qcz860rT
kn3ERIqc0LZY9omSbDQYfLMCh6XBbMzz1VknmgASPCUeVSIvPRaqtlIiRoivp9O/x7S8oP/8mEZU
0Jz/Y3auPp5/pFWVX/zmrAYQiYdadhpQg9K9/qsxof4hbJrkYGF19NJSRP1VVGD9Ad2ZBgSd7Vf2
G6OVr4c1GXRCF9xqDEQH6Jz/UVzTt4Mojmr6G0hpaYAAOqKtKXvrb6a/RqApfQNK/iJIn6b6Yhge
37wtfzZC3gKfzXejNfkKUoYuzdWI1S3Lfjdaa73abDxraC/ayVrqevHCWPki8aJrq2pe6EmDT6zC
RWpS0mtKttXx71RltGxtkiqFIvJ13hvrzK42Sq3eRi3UnLr4pGCtxlt5aC14RzWww9kEcUbrNCs+
GF1TGic/JVtiJuVVPm8iG0WZMiDNx4mDULW2g2Rb95YK4VHirkfYGAtwMsknbMuAXyUX2+SqjwoC
VnYkqdlubD63kqONT9afm3FQ7oHL5khknROqL2WZAOB2KygeDEqCWSHp3NHQazNDErs1ye4eq2xP
y/spBuqN14rdAcp3zw67gYqzySQBvAIF7oEEN4DwOYFvgLzInhQVajhUjpc0Vk4N3QG4CdO0ak1n
4XOA2QyyFdDjRuk+xaDIs6LdNZJNbgEpH2IMopJa7k/Vgtv1rrTts6dRCiBOxdGtLNo4PDeSfF7L
WzNiffLpTgpodIvJLl7XxxpkutvahHRaB1Oy1Cu9OybsboLJQlUAGJbU9dx07yLJYZ/i5LKSZPYa
RHsDqr0oyfsZuWyainmLbRnchuS6GxPZ2ZL0HtQQAVvg76OkwFuSB+8BhlclIZ5cw6cWZHwPOp7P
AhRHBq2PZtpuAC/vmt29mQOzAjsvavFYg6EnluM6kFz6FkC9bXZHsJvbnG6PP0T3QcfoJwVpjzH7
gLf8RkjWfRMl9zrwe82zMbq1qxwovjNZK2WonuCZQEZp3LVi1I85vzyiViBndM9iCtGReqUCuG/E
w6HAVUqJ4Re0HoBeNRhAwSdTygDs5ylAPhs9+p5HvcqAaKW0LcumfAGFtHGwaZrA/6VCUSEMoEaU
iJU4WjCtmqtW8nGSsQEyP4BxxYFIr3ityWwBU7FvA2hLZdGSOhCCT1RTLrZaCvhEZhM4k20dSYXI
dmEoABUWWreAqh+55kMrsw0UndohkXkHUwTbiwAEpUXHp8tMBKsELwBg93qQeQmtTE6APAXQVxg1
iSvMbHSSlJY9UQt+o4tlaIk7AJjUuDKPoZLJDMFrSEP3GtiQvoY3pKNCEhum1vBikOkOJQ60hctb
AWmu8OfcG2QKRB4sTPTghNkq6rKZTCbkMjciB1XXgO9V94UgKTgYdUQ61b5phlNhFsTStLQTgBNQ
WehlvYG3GS39sD3gIkEuGRdYd2G0eMPkLqcBTCr+wWKZN2VONy5MTjYdGmoDpabC4zf2vOLZmsa7
yjPOdlxu2N+OEQrFuYv+fgHn6+DFkLG0RLOIf7AGqp+cvBQLnDY0Li+5b+Psuu+qHsaAwLlLfayT
Xh6ZC8PW2kVeZHsExWyIGj+03V9lLeaUggsJe9TOL6H6GaVkJVPXNwcakevAQrmbqPcxFxKjlTob
L1lnQ/wE18yiEyFF8J5AyYLR2TND+2PRKxAqJ7pFWJ379DbWUkZwobE2bC4YEOQgzjkTcRNhWB0n
J74wdOJ63PpKKwXK+ZqQjrSFxdhbC7a8rc7la+kbSHaSsftAPtAt8aDzFkRisqgrsAQjJGKXPafd
9arInzKzUdh/FUyUMA/HFhAhL4flsmBEkhNdNwKqszuSLgLwYSZYTrb+4N4reQW9TW6z1Ajp9qru
rh0rGlWRf5HhnZ0n3IrpTUGzMHP7FjQytkgzIrAl1Wu6Qqbnray4vBXeeOtk1vQweRkWoDavVxbX
wpndD6uGDJB1oXbZGsIFOm2+cEaTo32owsRZDc4YTvMEVCmnUtBszI6smrgvVga19mJM80fRFduM
G8Rgj8u2lshGexeX4wc1iJZdGNOxLIIPbaLfOmDegEMMHfrOqFrkXjLOC+IMaVqqj2BfjYUxmOVD
KwptUeSUenHAQrfDluGrZzzohMHfeLo1rJyWO1fUquPy18fzu5mVtP86QqPUwBGGQFXm2b49/vU0
FYbjR9lFAxfPGjBiiv6qr+rVr1/mvR7vz9dBQmBJ/+X3RUBjT+Q/B9lFCp+gFvoHdqVLRpRPbJfV
rB9dPoAx2XRDwbgy3tR6cIBqwQUz27NTHRBWATCJrwKvvRalujSAvLYuIjLfg0kraMDzCJgTRBLV
p7XyV133gwLmh+8QTh5bCgughb2b6llpm4eNG2cXPfAVf7xVI9y6+W8kXq8EsDdSJ9jpkIFlMAYd
G3xDr4l9b8owUl8KArLb7qJgHov729wSt2MSGVVybnSdtfSU7gEIdn6VAZQYkTT3To9CbizYqAwk
/lG6ChQawIge3ZuMU6nNuwt8SISR5Hi1LSLu5BzpIgQCP3gW77nOcyNSZuTQVadrS0vOcZPMIeOG
66nnUlVrYGAYdGNQNp6VSl/JvEwIrKWYjSbIxLyknx5UAFEBjYAjF3Ak9M+03s+DLVMAmbcPdnIc
Jxv0gD0qeJv66KgGBTTuAS08ssNwEbiRvdBC/85rtfS27IlZcjX/YKWFtYIo0myEhlM654jTQJGP
kR0vC1U/WSqWpGGiJakZycFTzy0wUcvesi8+OgoMUbvXNmNkPibwgRlg0FEvMBoaYNWg/nGI8Zgt
bL9FKaekm6qBV5Bqw46L+TkO9eB5hCWuijJd2Elw1HMkhUZdruAg4GDRh+tUiAQMDJp4MQ17uPy/
EdhpP1wPPJDwBqR4mL7ct8+lZyg52BKLEFVNPxtunS6moksuBOP7Gfvpk18ztMvIW9bEsCC0vpqx
ox55VxgdBIA+6FUdG2WaMYs7WrnzYJhZsKpTq1y1rYrlwwJf4IeIFjqnc5ZqbqYbnUN90ZMVvHAq
hXqEjUhN84xRWnnjp+Ew14KanhKOjVkDkxF1DbkPE2opcXalOKvTQApXqf5B6CO1M+mmRqMt6Laj
T7TgQFe9eGDkR8Cy/knYaNGKnm2A9ACRDbeeGx1swgrK3LhhUMkKYQYw6jdW1x3jKLgB0Xud2u5a
jM0DAg5zRt2oLkXZUguWHfgyBmOOnBDBalyQ+srJIZSzwpqYF67xqBnKgxZ05aJs0HQGtrrqJhpD
ypAvNbNaq2q0dXE3oGkAt9ItzBhzveP0exvlSK916CwTGCxJc2uQPOs6A0Cz8Uzr/bk0UJ7b2E9G
fk5wMXEXn/JgONiZWPW5uQjsEJNShoTFDa9Ascbb0ZmWeT0uRYLfrKCgyYXPvYSHsVPcK4gyL6Gt
SFuKOjfbaNU0bTwnWHuh+81c08RB1DCaDAZNDsnLS9OfgPdSocZtcFA0bxlrPcSmRhrFLi3GYX6A
0CJW9imnODIeBlUJudH0H3x6cwA0F5rGqZl4/f+wdx7bcVtbtP2X14cHcmi8DoDKkTl0MCSKQs4Z
X/8m6CuZKuuSw+923XFHJkFUAefss/dacy0btvesSukAwvh1E3Juo97cTRGuESss7F4i9q0WWXQn
lEWRRM+zN8+eKa39DApOX+4zU6PqbRLhlBSzwjYxtqrf71CVlHSFGPgxD5OcXmToUDDDqTklJERY
KOkib43M8fqzri0MnEe9eUyHpU7+g7r2jO6hEDFGpeJBxxiyGDx1DxIHk77nebtW7gyn1iTJMRjZ
rQA0uwV1wzofm9oddeKeOqoQI6dZiUoL5kIlfbK1XYhU31bud2/qLEn4ZQcNrJGpYtwedfb9rj6k
2eAM3RzKdYqrg8SJ5eP96EJ8+7frXRyn5SDIOF2wMuT5q2R864brztpn/mOvrj++EJ7XXzSxb1ei
zazCSsDMCr7y1zvr66YrI7GjdS2NYA3DoXZCT77Vaj/fBDmi53jodkUBnzKXROlgznEnepQLHCYm
bNr8XjrKwndEAlcI3gDOKu29EOanXDRuEso3Tj0OwqObgcwvN2v8ZdqEz1mkPghBUlz7LQ4uLQjo
kmntTkOcRWGxGCWRzjLsw6xRjAd8GTfFhHWHOIlWaTahIu8mMF1aYZ362N9VbNtYnnaxnPEyCQzD
CXMopIe0qBZh4m36ArxSMuAc0lL8qniykt5/KgerepB9YiDkWvE/+VR/7bfAZGCjf/+hXuiQYp1o
xMozh6M5PAfT19H8M77pvwpNPvv9FxuHKCTUyABXjqF5U0SWXSp3nzwWHz8V+sXzh3I5FmPZH4+a
fA6ZL/AxicHofHyR+VO4LIdQyZiYsXVJM/WLR28waqy2KndhyY7cvDR9Sk1yFw7GJ9+G/Osz/tb+
Ai2oSWy1iFSpTH99xkcsrcyHCvlIGfPCpubeJkvPFRZMa50HO7MfNrrT7b9eh05wPyy+EJb2lTe6
Xiubj294Bjn87Y7fLSNvf+i7AtDqQquwfJaRZtm5QAMXw027Il9kaS0sJ6mW0orPeSk5xJXawcJy
i26hHrOXj/8K7Xd/xfun80LQnXh1YsoVn/vjsJEX8K6W1tmwT7VqB+7qQXP2UOJX1jFYDmtoQetb
zyX4fM26Z08rgmDwttqxa7nCvl1nq/oUwBmzffc+t9uj6IwrbWNtQKmvq7t0efPxn05I/d8/wPd/
+sVJRpDrMIF1xnNpE9e5rF+LZXEruaUD6c4l5WgB/m6br84v+0W70RwO7NE2sq1tdGSG7Xi4XO1v
nnP/8V/1Zp75+4P8cw3VL3aHMMy7Cm/meAw25NQ70xok423G3MpB1YGSwCafyU5W5rFcy8800hYf
X39+fP9++b/eo4vVhqVGGOuCxF9xyhdG3+8mIT52rZh/sinNq8pH17lYdczQVLpuSsYjNTUj0Bdx
WPf61xHNmNjQilp+fFe//6p/3tVlR1kgKlHRyqg9BsiERu+68K/+twtcnPmUwUx0PeUAFWs7OaIP
aBnux1f45Isx5hfx3esupIWZGSMvWl4ca8a7hfw4teYn38pnn9PF4lZLTG47I2qOw/ytICwn09P5
3+7j4gFr0fm0WZ2Ox74bQJQd03jAOn3++CKfPF3Gxaqke74w0pxjNyAmQLUy4iCak6K0DhNaItDk
Y8dg9eNL/vb70Sw8oMxZyPa7uCT4EMUrwqY9qun3ihAFJaDJt/r4Gr/9et5d4+KlIYqtFspAHY5a
pNK/v0rTT7oKn13gYknE5z6QHFB2R5FFm2Z0DGfq41t42x8/evEvnuMgZOjjJTzHnA3s0vG33To+
cETAiOYEC4IrPwVnXeQc/qigfr79+nzX714dif6f1MgBe9QjjeGMVfWAMAOR2BeinTedfZ6I6GLr
1hawLWzzSrCvm8W8q5+fyrOy5dSOfGkxNvY6c4LVZ1yv327k70uXyycnrHpR8njppNO8kQt2vUrU
TSY5drxS3YfM3sKE2H0n51u1q7txhw/gk9VLnpenj76Ui++9E2o9KK2RWsKFruEScCbrtrVL3Gvr
qO+VVes+yUvPzujYLqtVsTId4ZMV+rM/wbjY9wD5CoSSFM1R2OX2AO7Pjr6RseYau/Z1WBeLdE+A
xEr47j8pzrCKT74bvX78aL4dvD74FIyL5yTGUqLWGY9mtRyWpS3Z4VzVbWLnttsMm004Fy1HgAUP
wEHddFmsjHNrV267CDa9HTx/xr7D1PSbb+Wv1127+EhMwWI2lLGklAt1pa/0xB2WxNHvw51kv/gb
tHuOuSnWNPX2g2PcLbDJ8hU1q3h5E7pzkfCf4uDf0b3MR/+zxTvb6v5jiZs9Ef/3/xxeM9hqYfYb
FsD8gz/G9rAATKxmIKEwnCCC5p9+ju3VP+aROcw1CUUd3v+fY3v8BCLOD2xoyht3bV68foztzT/o
5SkiEAGgVf9EX6fpFxsi7vY5vg3EFCcjzpOXqFCDQFOTaAbhJAkJKDO6KqI6vXp94NuxliDJV/Du
S9GyGuekEjEsqmurSsnSMToBkaeBNvjaB1NjEkA6Km5bS9UDVBpjfNEEJE86umhypslOjMo5T1E2
p5VfM+quMfWtDFOs7GHOXSQuGn1yIVjLSpIfsyIWX/ySnMZSpo2fB2Q39i0pkgRao/rJ+X8Vg4xH
RjfVc/GW+zgnQE5Bp237zNhGUaXYPUESWoCzriY4spXbr+nAkK2bMyWxTRHbMFuiiJsc59zJ1NAW
aHu6ozlnUqYVuXCg7ZRVNY6BPc7ZlVU80GAzfVsZrXhhorGz5TnrcgIsTGZafY7qDKnT2NAUM8nG
lKSHEAUtEZLxMSz9wMV3eBVNTcYQXzqMRINB6AlPBHa91GG/1E2myWqTNLbZkctpmCR0NkYfbjOD
KaA253fCyREX9VuoJ2H3PVookj67AlI4X4twUuccUM23wLozxm5CdVvOWaFxlw9XE4qrVcYx+Gog
UpSRUrC25pRR4uL5oXiawiWTSNJuHSVLyOydo0mrOaR0essrHQbkAaCRSDGNggC1uJUV3g1t+WLV
RVEhLniws01WdR06JPJFPV0wD6HaQ+JtLO+Arb42s4NE+vmV1AZPScBYPsj0Lz52XIzRYHDweD7F
UuMvvKb4jkIwdYjw2ydekNpmNJ4SsEpOMKbfg0lzwao2J3Qmo5OilXHUyowdK6NlJnT6pupKYytr
WPJQiN/A9ONrStOVGvAfq4LrM2gUx+rYy5bNbKznD2jkFjpC1fWyeui0QtiOikGqLAkcZ02r4eVU
8IhERpia4sgIGNwiSpp9VVqi2/KgnYih0JdVqUF5UNFfCTk6kwrYK+r+dqUEyfPsoWOUKiFcGOpt
TyaanXS+tNSwyhzJS14KqfVNFuq9HqVXeUvOk6Ac6sKgsS4LxXHkKLqR9WrmhE1rQWPOkuIbZHzk
eQvTfG2EYRcmAJRVYz8GubUgBXFVDvSFYQZxzydzzBiDIMrphJ0mhfsUNw/2d807ZCYQqVQvFPLT
/JtgHPxNGSSbKqL2KvmSzAAZXx8CEY5QH0Ci+uK3PW+gHp6GLp8NNujohKZLHawfDBCSjdVoC1T7
X9KK6A/o4oTwfdeNkKUlXSLIXRIE5Ygdlj1fxnyKjy8ooo3RqTurH5wecoMdNHB0gfLcmYl4Qm95
p3cifMXYynUYeJa+9czpe1FK19rUboyWrK00XejNoDhiMOwYDzhMub4EurLSK9r5PiIKsJHnmhm6
mcvfrJh3OE2U18Yar1XSwty0LA5jOS2FWCWFT3EAQBNRDDUb0jVeIRFdg5e+ED5y28/PoxRHG2bU
5ykfTimxamQ1b7whXxtp7rCQMvfXKMCz4TiWoyPDRM+81hVMtIOTsELnuTaADqdFtNbrYSloM0tc
Dl90k4GYUKwFUoPjADVIkZ8y/CiLTMxXFKnRLO0/yw0htp2/HkTTTXNhD4BuOSYhgCDZHjkvlbwi
sio79KZdPNOO1ySvVfKaM+scGgYSprgeRTyRffaogSCrJ8XFsYaVvKITKp8oRm9qrAkojqEnDdfq
YN0m0YS6KCHENu/FVaqilPEsnkBPgMEpLk0r/T7CbWWFW0LoI63LdHWTtEK/DjaYYddoax5FqUEd
ad7oevFoBvW13+FqT79leNJLUSQVAdOFoYTLUKfb4o0z+GIRiKPjK8EVU7dD3inX6ETx4BBiVom2
2CPSFcW1YHVrsybhLEhuIi3fN5p0hyqZ/rxV27pWzKPOXS22S17FY22ZS0mptzjnuGC5QPVCez2r
3bxE4YP2/KVv80d+FUhCD6d0rRZMAoLSJXrQGbP+S53VOHqFXdLkm0kwiLRgENFVMdNSNomg8EoH
DCHOXN1YyU33gOLhuSH6eyyMDTRJ0nyI4M6bas10Y4N9jAmYRvhh1D32lfiQV9E1NBsIWwNC0ZbP
zlpQ462NRuPpNFbwl6+yPNkVcNs7ob1JQmNtDt7JU6YNkodt50lERaINydpwmSbjufBmWBX6gN68
iiprr0jDU0GpOFYYnGHB3nmVflVX9SmrtWuCrEXblOqbFjtrV4CIqyYk11qyTzR/i+1XtHvYidW8
UE354xg3pJdpq6JgOozVO1I4tPVz0ZOB0MruqmLc4q7bCbIanAQPEzPpVMlNTVqPM8nNtgJCOPU9
xuqYjSf6BonuLmpSlCHA523LaJ7Ay6AKQsKT4wQLpW96inm4KR/jKtiIsnRivSUVaVYv9fWOsEXe
y8SInUmUngKtLpaWEt+mFVCXcohXsSKdoxgNT0zCbIYIcIm1au3FutPLQroIEah15LIYfu870ii7
cQLrPsjOg6+vIm/YDtn4rRDI8aijLw2+ooL9jzeghj/YGYu29RdVIGQO2D8QXa2TJmwSZNGvO8GE
eMT4OSSBtjOWoTgsMEWz/tQR3cxhWg5YlsaG8UIDYwYUHfKwwsnQkDQhUbVBL2wzWeVZZzCBLKWS
8k0iNIcJd0NdFS+tOccS1JbjJcOhU3GEpyLb37uS9vznMee97PKif/FWISqSrBsYVyFdXx42IApV
VRtmwklMgSzGdh5fC8DKPr7IfJR9d8L6z0WQj4gKskBFvmj+wAcVdU2VhNOA4AtQYfs05MRYuykh
Wx9f6XcF7zwK+HGli0N17uWjNHlcSTaPgYrS2ZAW07TJ9fuofQ5z/Z91tf68Md4m+rbouM3LG5Ph
LppekvvnTnhu2l3pv2TJyz+/I6plimUuo6iXhFiPCbhojUVw7lRaWKt2HBcJZsbUX4XAG+Tm+PHl
fvM8ENfLoQX7O4Yc/aJPM7M65VFswnOIn5Lxsd36qyL+5J4u+k3zx/bLRS5O3LUnNJrucZEII0xT
7Wf77f92G/Ntvuv9dM2EewE0yhk2qU7qRJzfenBOP77I3B65eKx/uY2Lx7qIx7jo0jo8D4Jik9ph
hWeSi1ngnjR8OfVJxlv78RV/9+3AyBVlLM2M5y5B6nFISnAWSeHZKK9KERlgsjG87//8GsiXdFVH
ZiTD+/r1o/M0hYjZrorOqEYWqe4aCG8JmP74Ir/76LC+w3RQJOjjl1ijvA8MIwyHiO/nKdP3ASfF
iMXA8m6idqfih+69q4+vOD9Tl1/W+ytefFnkU5BnI42wgGFtdPWDQgH18RUuepwaABtNMlTyiPCy
6byvF4tPnaskEQ5Seo72IGA2bJ4HBFUL7Sq41pxsES4/75/97oF4f1cXl4TynA5N0UXnTifAgu62
jFFfztcf39nvPztkZ3ARePIuB/z6BEmhIaXj7JWWI4N9NZtPPrv507/8dmB087RZDL7hffz60BW1
HELCFqKzwdEXUhTV5nOI4duPok/u5Xef2PsrXSxwnIjzCjdSdJa018C80rybcvpkefv9JTQdABKB
eFASf72ZUIo7U538+JxlJ7y3aFtlW271T7a6371CPGw/r3Lx1aPuDZrR5yph/JIIBPUIi0pF0do6
cXMW4lWiffId/e22CCU1cGqL+D/BMs3Wlfdrqmx5RpEaeXJuulVZPff6opyu/+GDdnEJemnvLwGI
jA80KJNzT8SzJPjuCE7v/+cSM9ddpOChz/brJaJhSIWEk9a5Tl6EaYO/75ML/O1R5h5MFSEbJQ0p
QNpcorzbelg60RRmzLao89IWOHu0CYmay6zXtxv5tys7zwg+6spWL6/faL++gc3+gpfNP/WzJUt3
FbeSphEUxvzH4J9+tmSlP2QVM7RFP3Tmv/DW/HBSwWClEgb3D4HVst7oZT9aslD/VVEh8gJsDPnB
1j9yUiHb5xH4a7VDTIKLSqdiNGG8yGgRLp5BRZDphZRxfJJEtam2VhMWkEi6VBUgeccG2CsdI67T
llF5JRmx25IKSUjLmmmE6EWrbMa9zy2oxrynq1PYRdjdSopa7cQBT8SjNxOg9SZj5k3h6qRveOhZ
tk2s7rqQCXEPgUjn8XgahKSjXpG/eDzIDrGyuwLwdKYPhGCAoh5AUhczm7o1h3sw/d/0wrgulJxf
oEzF2h80SF0mGJDaumpAXXd5JS/SKKWHJMHBLuDX3HmgsYFr4KsVRxLtBulkgs/u04iwjBGitj+z
tYfKXHd6gb8i7teeLj+pM4e7z8cWFATz6Jzh5IJiIloXSko+YmWYKAU9UNtl8NjGZeNmWhGv/Bjb
4jQbGJXZyti+uRr72eCIiYsjcPnme5RnC+QwmyGDQATcMBsk69kqKc6mSaPBPqnPRsp8tlTWs7ky
nG2WvoThcsR5Wc4WzGA2Y2azLVMvCVeqZqtm8Oba7GYDp4yT05stndls7hyDCuV5h+ET/hfez2i2
gXqzIdQsqtmQYI21z9+QleFWNQRd2lgxneWl3Md2Nxqx9FUqFdVtUaYZJfTRoGsxLZmENyDMDTIp
spF3LkUtvVIjCyPJMOaDrVTxK0kRD2Ud73ORCIHU6FcJhHCHzJdDZQmHmnBGO0hDVyuS6yHItoVc
PclCvI96QjZLOb1V/KBfNIH5ogLiln3jCEED5nnQGDG5CmMoLxSlUyICGYJoOkiamNkilJq4iOBh
q51HVzvYtOlsZfLoOgy6bC7SyX+ZBpZdD+YEh206pPlsTdasjBD5Snuh81zNvujYIcG6dpVgWLRS
4xrpeOcPzYAFL9Pok+F4GUda99B9jo3ep64pakDWUSADz/aB5PN/RvzegFaLwQHKicU5WUOzGJ9N
arcag5C56yAeDa0nXKsikWAsyIkUxWanh0Pn0IWVUf/VAmYp+VkfsKN5Y37TGwNNjLHnXJ7Vhl0C
ubBCFI1MgBA2GcZr6vnfkhznP2+X00QMkCMKmxaTHM8AzXARKF5bj6hZJbq+NCyspcmjL0qq72Zi
1fiupzWUcgINYfj4kZHH26xu8tt/94+3vGOZ8vWD/SP/7UCPn/mxe0jGH/QoWPDw2lLxzgKyH7sH
OA1d4zGmP6VD6dZY2H/sHkztwI/C2iBRxlColP4a6BmzD5dIPiJj/jncW7HmCvXX3YP9Q2c4yCZi
cBS8qGDriRq21VrsdEo27Uv2K2QMOSwl1RUGvwOjOHnInW1BBtLimo1n5EykUtIN2jB668CLycFs
QzGl3+pzDR+59iio9FNb1o+FT5Isc6yp1xLW4IbO9EPfknXhTqKvEvUSEx1cbGq1kgobspE+AL02
4P8HQu4vDa0SnHbIHgAt4h0j3KOZsRd13TV22YmdTTYFTjBfqEE0Y9PN5EOVgWTKU+R3o3gNDpDs
CgmDXu4VpKmku6z09lI/3KNPm40iIB+KIgWatQGTQPvV59UJ9Sh0YqMhnmQweGVMWm2tNyE3HKYH
3ABnSWTFTDDJCm2Nn2CgwcfxDRdDCqya9p88ryth2z02jIHwqSS7NBQ1mvDjuc6zcdnrHemUrUXu
XVc2jmJMgxtDknIJQ5wWo0bX0BTlBfG0oxu1Eqk8ZvdNUIcd8Qx4IhnoOaknfRuGIndaDaeOWK6x
SyROKiX7yJQLJ6yq+1YjBiUq+z0un9bpQhYLgGU3AoiI0mhRYsSekwopkvHKKzYcNn17UPNjJOfX
ZMQ7lOc73JtOMLC3dgAcJKNcYMf8qo4FPA/sCo3CiDSJ3SRQAZwW/lb1Uny5wL0IKIa+3QwR3I88
XpqjQVCN0hxSAahEnFREpxIlLPn+QwuEhHaKFa6UEd+doPtnQrBwDlrYDspm27VdRHxF9eBjobYn
hHHjKN00/rDQB4qNaJDWcRZd+1m3DzXFjfGw2bo+hcRxjKC0gUeuq9gLHBGWNwu6sTBL5TVPpHot
gcPBapwfNSlrVoEC8kKJ7ziv3qegn/KiPAlBQVffirHTJiRymUlEQE963xsmPkxCHkTlSSzw8hjs
+F2f3AyxtiFqZLT1efQTmPRwRpRwPOhygGCdMYtiTeI66PuHzJDBd8jNw+D195Ja36o1e69fTass
sE5RrTkCpl5Va74OBgMHwoF6pzXiwi1jyc1NAiuUpr3xIliueSS1jBf8jV+r/rpsymvY5U8Mrp5L
DebKEI7ITaNwNnWqkqOK7V0XMtaRgLi5uR5sBSHfiob1JYMUY4t+ifI5l25oFy3DSr0tahEHcn7u
xXB2tSs3KrlTrhmIcEcH4egH6iE0CsFRYmyJYcIY28hWmTR+Sf1pWMejv267CplZYFpOJkCxoODK
cZdkT1EG+mWc87eTYTJ3ljgCE5fofYtTtQ/1eJn2hIl4MlxR0uDhUQn9MqnHkySpjKkC4kuq8ggX
5o6RTLAFNpssdGl4jUPrOsKGautKAWA/ARlYT+P3vgPj0nWkC3u+rDo0JiDX1HN8soFNzUvaG1JC
eXQo2+1YEghXKsKREVmuOWoerGN/+KIHDboYPcsWg27B5igPYN5eY4aJbj4Ao0K/zANFSM1EWE1F
aI2fh+txyp+ytzQbYm2MOd+mIOhGnBNvzEEg9qrVmZzJ6sZv8PlNc0KOJEcHicickegcuFs7wwIT
Unm7NIk2QVPeeEH5HTN+7ZIYtR8J4Zk9scWcyqOMFJAi8xFCyFn3qjm9B8LewpjzfCKCfbI54cfo
yfpJID5qHuk//ZwDFHb9vTUnA7U5RLxuTgvKwvhpmPODBoKEYtxbBPsqOVJOmZCnMXiQ+9d+Th8y
5hyibFR3gZ4+DSOfqGQxcOobmfDr/L4iF9WB8XYvqzRIfGJ6MN8yz1GYatX5iyWrz1Mlfu8kHgZQ
LbdFxRdGXqfiaklTs0Rk5bJMjXNHjpiveBJlTC+QQ98dGd5ec6toPYLTlKr0KtQ5urQjsWAiW8tg
c3cDU9y0ecxEGevDRu21G7nwHgODvOMqCV/TnpGXp/ZQbegQrOu4u8PfNTk0ybGwkbvLZPDfKumt
SlLpJ/33KukGvc1r9fdT9vxTP+okGVoqKBLS9RRqIiqcv+ok/slS0T3pTEWoikz6OD/qJIBk9Plg
m2Kk+DPp5L3wiQGHKIo6pdTbsf0fwMVkcz5F/1In4UWigU0VN7cCDHHuZ71rxHRyJjelYI0neun1
EsNLtqhVkf0/Vkyv3JliNJBB1WmC4GheVhz6vr0RUyKyzRgMwDwhDQNR2w/ZUNpdREnU1up2TneB
Gq7US1lqUEnimV0P0LSuZJWzBgwIHHSjz4Eyyh+tSYocNAAvWQnSUwqmqzSEduH1Oal6uDRtxTdO
IMI6J8s70fYLRpxh3k+2ZFKqtERNAc2Tr2JFSDZd2rfQlTSmooG2FgyOx5pCfhnEzgx1lp5pTljE
1/QcXvu4vMm7cF+kfeVWoi5sokEYtj5jfmdqrOIktvozCNprq+S3eFJ8gMzeQytq3Xog0t3rrQMV
MI4gOQGZ1l2J8XSftsWdFZU7ULPPooCht0j5Y6deZmge7UmAJjar1w5TYX6bLPAIcE9LxwT4PRoE
0nsJ2egCKhE70IelJXsvcaCQEWLmSw/+tyGUh0wuHqMwLZEKFJ4TBikrnTZ+nUL5KFEcLXqzuA4D
H+h5pJQIPhTUXSuIk8z4Aq7nAfJyygrMlVRR0uQwAoalaPUrmeNcK1lLqZpeJ9MMF5rR7bJBYyBM
F4HClOl+1taFo9K4AC6JIdHyAaegF3ooWpBOCOHcUi0W3SBrJLS/erg4odM0juz5X8DHf28Nn5Ii
1jK3Uad8KYkN5XVCDEk16raBCx0ad3EVVNMXs2QRl9A+OUHCLLKaFVyZnm86ubmPovyqFVNC6HWq
tbl0mUpydVLk0QqcOkm/Gnr/ockKC8RmvfOZfrudkKJy03lczVrzoP76HJNHKhYjyUJKauw4+WxP
C0vrvvCIq0j90ilrfef1JubwEjtdo4VfKO18p+nyL8aggCkfiBSrBW9aew3GVHo4WKl9lZEjGZCc
UqfCHVQfw2jj3xiewTOVK/IaGdah8fLBIfrbsmFngOsuZyunqlIE91e6FLCtKihVh9RcaLW+T3V5
DZ25cTrfIkqtrt1EoAllBEDCZkEWqIMG6yjhXDjvTvkgbCrkFfbYxy8Q8x+iVPlajJBzZm46DtdX
FqljJfsp/mHzCF9NXBBFU2FPp9Kkv3JWCuUbdUZh10WwVpLxax9Zx0HObkI4/U6qTU9J2UB2FzR/
SVZfRIggfLbGAxaTl1eyj14uiuLXaILCM8oeYp8et24i6HatohWwfBItA7/npQ6ThVDED0SfP0hV
QHXZqV8qMXqGlIaQocF0W3C4scNcOcAtu4eCuIM8skVsIy7EQQNaWGw98LlY8zkG4FkFaSA8NeW4
MqJ8n1dpYvcY3+zANx4bBBfEFirWuisMy61T+Hu9xINX1pZ6kuPcFNwSBcW3f7fFP5sH7BL/fVs8
5Bnb4uv4941x3v1+boziHwiCmf0wy/qTu/WzgTBvjMY8e9B1XRNpB/y1Mep/WGyYSIU4FM80zh+9
Z+0P4jQAgqEBkEn0+meSYGjll7si9A6AIWA8FSY5yqVhJS0SFY2EiQNHmbplIXqqi8/2yaBllhvt
A4l4d/F05Y3diky6hVyaV23j33nJxJo+YxYLZDtlNh7g+fnCi9LHdykEEpy1VbQCW/VVb1Dywvnf
FGm0Fv2M+rnNERlXnhN0tAVlUXoWsq74KjVZSOh90i94Kz1iVyPSFSt97fnVNuuROERK8JCi+8pG
62lCG5YUZuX0YflljOIrK1C+VLr0OHSj7OjNcCAOL3fGIAaRV0a7tkVwq+HMehhF8zkk8G+XFbje
pV7TXbGI7uI2eRZHY9qoKQI/WNZodKf1VMrPXZ0erQy7nW7cWNUqxqJcWjkdyai/a4PwyQyFdS/m
D3Ul+FtDLlyrVp00645ShEEA89EwhscZJFmOMC/Ik/6WgwqkqUISp94frZmZmIfyRs2XqKbtYERY
KN/45aFCP9nET6UccCYoolVdT3MjvXNBL4NS0CpamJGMskv17Fyrazrm1uyGZzP2hD02tH6dN0YH
uLdd9HmE/hIIgEj3XtUDjvtJsi7z5FuF7sht5JrGaCWuKn0KAEq359G01mLEqU30oN0EGQrKEJFx
knE96oZa8ycGBdVXcRrZHURG9ubk5iimBt2z5ijXPdou/PzWMS1UV48AkRMcCrMsmGBbuYYGhrxR
0WMmokaM4kxj9NFYOnrfSXYSqwRqGzW+8bBJHc6nPGwhDOYmJQazMb6g290AKmiWbY38kaiPWXV+
1RvghwwJrUWpvIwzPUAto+tMopUU8M0JhXKngXYr06RaMKU196UgbRIzPxTR8Nylw31Q11+L0iRu
oh89d9J1TpHg052x4rweR82mG5vc7cr4oQ2p7ibmOXNlcgWpTnHiblgTPp4vIbkBPxr13o5JFpPh
OAA5/c73scuL4qRWAUxWcQU3BWEobYaiQ9M9JspNBLANOt2ukfpDPsm4TJpsS9zrHprGRk7byU5g
tYHd+BrV/sYK/JWuUpHpZn3b1+FN0Qp3KJo2YpZv20p9zXV9E4v+Ceblc1Ynd3pc8qFO/V5VIIy3
+aHtYnaeeLhK0m41eOFebXViPft1YeUbaZ4djypZ5sHWV1HFVqOyK5J+19fiWQzUZNmChfP85rE3
OMrX6kS3oTlRIZGNNhnbypKvtbDYxWG3xo/dcocpYXCdfCKX6UBpi961Qws/Qvn05Zs6rx84Ke68
ITq0AfgLf7zOgFZRmwcPcRIsmcs++LGx0vx8neqhuSHAdqV3fcDT0RwU8N0ObVjmHf6G5utVKnTw
08TSCdpq01niozj0iWOKSeJacnsN9m3fVkSgTAY1CcPZR4Yva6PlCDs2rky14rRo2JVEf55Ma9UL
TD0suhdh95QRmFJr4vepxhsJEnsxgQwN6Q3T8ZyELL2WSXFyErNP5KWZa6x9g6JsSUmeFpWe7Cy/
3atWvBmaFoOrZO2CIDipXbLz/LG30T8eeo9E5dDKvnYhSHahSqDxWKsyt45VRnCxCYYqLUVpQQzi
fUgu3SCpD0osEI8T3UzzVwji+WshDbyNPoGFPbWE8DCI3UmRpKNIQlmgGyQlj/0XWaA7GBY++ueS
xlTDd1FJ2jJrIfmUZvpckNQwWnSFm7Bax3m0irOid2tdukfUvC3rzg4CpoiQzDuAxY6s3uLiXYTh
9DVKjJuJocU+08qC8g2rbZodhDnoyCsBJE7as1ToK0P2bFUBfRs1urroq0FeE/bAu+y/xjRObKRG
IgeGcQ+cWl5KEmwfEQyZUWoVGTlBAbaZik73xXWdto91H96UdMDH1r/1qnqdCXR8h968h7i14p5v
/TF5aMoAF5d6jmdgnNg5cqSPLCvDSlPzU9/4t6E41a6pd+v/x96ZNbdtpVv0FyEF4BxMryTBQRRF
zZb0csqyZczzjF9/F5x2YjlOUr7Peerq7pIpkeAZvr332lpKJmN26Xqwb+bU2NeBx1tjnLWqJjuI
p7nvzLsEYcfXEepg3yzinDHclMI+NcSAbR+pyEz9bqiiRyuLWhZ/2zmaOfGDjEveNqxs2hzIV0Ru
z7eT0T1BGqjt/EkIWXvmKDsnyD1oV5ZLBqDP/VmLqpXZwzoMeki+fZe99hDgpZ3HW3YYYhbAujcl
uLiRO4VVtHsVcngf05Ytpvf6C07OFEVq05e8bojLUKmdTHmyFnFtrNC4OIin6Ye+CEwG2XaNFxpy
LfQeR1tlsc1tKAsuUarLc14Z7VNsOLCYrbnW0IMH66YZ8hnz8IwGN6TSJSdH+y+iL5yN2dAuSehc
9GV0bbrJVo6x75jcIit1G4Di6yqTdJHIOT+7wGSM6kkNnHex6Pq1AU+uT8ZdB1jIF2372sfd2kjc
Z6nEqR+Ii0DgzeD5AAvFodjc4xWfNq4TfmRlfdRFvSffdNat8U3F4gj+EmkuxE0cMQxrNPFUztbR
ibKTilLB4CiDI4hNucRj3bFF17QkbOxanWPm/2lS3LZNQjVANh/KwL60xmjPRXIVJOUBOCSgLD3Z
RA5tV3Ysbrwhu2spC+uLadpkeX6fp0POxD45Mos96Lp28hjochTamWN1aBWoyCQ8BE51DMr2gy3F
Mc2Ni1qw0wp3m7jlJ+bFfpwEN6PipDBheZ9V6NcMia2qfctC71LL83XDQzeO3bHz0k+20GnJ8PJD
oUe3tRn7thkBv0T2ERk91qN+1yQa/uOcoce0lCE4gT9DFlc9PK2l2KpjVNLGxj7rzCdcTOs0Nsat
pREdQjXnaFHB1UwrVvfkKSVYTRU05Yeo/l6C0Yl6goNWxo+ep3bCna/1HnpL0hr304AkH5cfCiZC
DJRNxM0++qzqol+P8dAhMYsrbmxXKhAvo94CiYxLwFIOPRzRwYt0j8pVdeyT+a2crKu2BLrK+t5e
2iYPS1AMFoILwk84lYavJts9F0ZxkUvG7Klrb8JWv0mldpm29F5pgdg2DVknZYVAzxt8z+FkP1sD
gSKPlQZ7+Hg5ji6pDu5vozXflJr9bJqx2pZR9aTj1F/pdrdNmj7Fy81f7Spj7y1LT0X2BARZuA9q
bpQYEk4l4nYSaPMZgOaxNAJaP8iFbKo6Y4AKJqeaKjDR/DcS/hujh58VjeWOypYDo3RYaW13OdMV
sSot+TQuYLMYaXtTj0Q0qkleGUl0Bbp7DdUwPDjh3FyW2P7h1wuwNGlwMdTqxmvSZ6Jccr983W1a
6Ih3sZtjHxPPbtje5aW8QV6LLj2RMzwpD0Gp35u0nM+FpZMl6ZjvFxs9Sy6rQN91jqyBq2dfsH1A
jBMmM173PmmLi4jBd4JK1qfD0n3TPk1GdeuN1VKv51zFRnCVQYRPHTkxfYkfq9R7lqO4xVpdHC0R
535H8dnWbOXznHkHDyDQOtYjpImef1irjG1hRGDlc9nv4xS0d0OMMF4HMtPF3WjEJteIukbEdNNJ
mihUwtZ804jogv01GxxgHs8GxOyAKoLDgr3v/VjRjHR9NM08Osclrq781MzjypN3310rr3+fUn5v
y3/vEFqy68uL2Ia0DWhFXCXfv0iixlpoTRNBjDxo+UnXKOiR9+1w/88vg5T93Yj0fy/jLDQUHNno
QMuv8d2IVOm6xy1A5+BufhmKB038S7rgJ/8+gjgdZ1Sd8Xb9+F413mQXhZ2l53zgQdu76uMv//6U
cJu8Q7xRS2j2/e8fOItuaVXZ2eXeYV1b/6tR+1tI0g9xgt8/hu/enx8+a2knBqo27w8V9Vq2TgDs
Q39Ghn5L480//yk/eSnwWfbiHbQw2Xo/fBSpi4w2zEVyBntG1INJFPzDQNLYtYag9c+vtfzaf07G
v37s7z6WHybjuhFlvWOn6bkUa2Qpi3tXu2FNnfrtP7/Qz/6o7z//H/6o3Ik9EhK/vxBiMe3LY7hl
H1m24vJfnrXll/7xj/KW4IfL7ijMH8FIwqKOmY03Pzdiq9KP/ehb6tM//zk/e5y/e4kfH7e5sTgr
YXI65+7HWD1L7f/xOC+9pA5YTISLr7Ob776OcZVardTM/ByzAqJrptP/Y/HCOKKDbxd8bezFNPn9
Fz7Xcs73tlGcZ+fj4Fx1ixGi/Ze162cfOg8xLjJJsYuxzLi+fw0vzMoceGF2JjxHjHcxIlg3PeBJ
HCTiX57kn7yWq/NnmAa1fSQJflgnQ+UyZIut/Bwud2o/WnLEvlMhNe/M268f/n9+28We+vcjz6uP
JU/xX9y2/Mwf407zN52dig2EIIckM/KdDmj+Ro7EZFkz9CVOhHr4TQd0f8OFS5UAU1LGkF89ut8m
nu5vhiWXNgOxmHh1iuh/QQcU+rLI/Lkw4LZdZqqsQph6sWBRJfz+eayrJpNWb87nsmyYv3PEWNUe
rr3Smh6MuNqpxd84GNVGld2r3inqVEZqrUZ5RFRJMXBoDx5EUN2aTtZMvM8i7AzLpsV7EZ3tKN1O
yr3W08BYcz03/YogbTJ6p0FYl0VW7NzA23exyYWCRiDXZo5aB0tPmj3c2VbRbSkXedPs/IicSk6p
l8HJsROwzmWiVm5l+ZOJBk97zA5c5UG3EB1K0310SnHNwf9sYR5edXUO21H06WNiT4DLEwi4lncD
Cfsu4HiYWzhAJgsmQZAWELZb+TYUQXya566kvoLXmax+N2t1AC88WOM/3XNp0bfBaDDySYeQYUik
I3gFJeRbCv3MckANBU68odxgHaXW1qvS16CLNu3Er172za6rajKOhYx344wS5+jhthiSPa1O/hi0
YHohldYyNQ7mVByFnkYXhmZdKGa9a7fWgRUnTBQTpENvsO8qI7Lphq3bNZNj/gqvlmfIW4d8QJEq
Zo+ancZKD4zngGsKKAd5S9eDemkC9z7WyONGmtjLSb1xSslXGTFVGi6yTcNIl7AMtUealPsihB1d
JZl+zyyUlPFoHbjDjRsZlLe4g/dQEpx1aBF6D2ZQtVRlKtID6LaGnsQrEIrbiOuAP4fR5FcKe4kV
JJ9qgwtaXxm4SbV5UVzBoc5WQmeuG+2gLocbDav0th90L2G5NzNwCio/2J1m7QNU2fWgucmhdK3N
6Mhg3UspVpxN411bWGm1r0Fsqjt3cLULww4/B1pR+q5KvIu5DKn3SetDXQX3jGsxCrXmXmrIlqz/
1Ah2lt+7HPj7vDjmbn1qmuxLMeY1cOwBG3n/VDaMh/BlPXZmRdsjNsV1r8onmoF032nmyy4fL7NM
l0im8c3cuj0m7WDXogHjS+IroT22gwGadpj3scnNxQ7k2cHl3LmgESIcavAqihU+5x3mwcvUhh8C
M/ZlLtW515MHb2QKnlH5FJgVZq2JsXBsVJFfx/DZozD/6OnJKQw0qt6D0Kfw9ZSn3r5lg14PjvaZ
7sCHQpsATWlgGGNT/yyi8rFP3I1Ge9Kqhujysa8tXzO0514y1hha9yRGPC1oZ8mNncgXYlXHBnCq
MzdHrt7ATTEIRTNdfoV1HovCPAHB3aU6863SsY9ipHei5gatmeEtBQjdKommF9O5TzRfTu6xjCJ6
IOMG7HJUr/NSu496x1i1SXoDUEXDw1U/l1p7G9udwng1X4cWwA6bBlIxAACOYl/T7P280FVooAaz
UJMMxsG0SkPv5HgemIXkHNGf2Ek+dZPcdO+MwS7J5hfP7ttti5Jsu3tGafEq1eJF8K0uu2E+eGX0
ClJDxwlgUBI1eMQJ4rs2tV69mnx8NwJLzivnkWrDfG1kii8x4OKVCFvc96yFK29Ox12TU3fxexb1
vx3X5ED+DzvuW//x88/2XH7qjz2XhIuOkUbH4SLIgXIu+uZRRmLEC4OHhrVgyZmwHX7bc2kqNm3I
8RyYln4hg536257r8e9ZXwMpLnadXxMZ6Rf665bLdZLKIMzHvOCPIqPqolJY1Heeo/xaTM7ilWDa
Pbbewzib9ONOZrXyzPzSndNbd5KvU5lqawevKV3nFMxOUUO5V+tdNIl3Fjq3hVGzX70wOaWd90hT
xYMY8F10wbbSbIR0ErdpmZW4IGxzjTNsp5vZJSAAEASq9yDgMF3SK0gUXL8Q4ZJHm9QJLG2b4wBc
B5PdfFWY1hNFLY/BNL9qykVYS7z9UHUPSdReU2oLJ5eeS5Jxd6ALH4piDK5U314UQ1+uJq05Gi5j
ypFS92ws+JtnWovFqnK7Q+eGWy77Ck5Jvs1D7UNH2ysglRU50iuufdtZhlyNHEf5BAqIq2P0wf25
rVygRwIeNR6sz/htz01i2LDYq+lupmUo6hUV8GWznquR/S8WERu3pJI9h8nuadZzNiembw/KIQqh
pxdUeXibajAaTOJqh4863rjDoi161sabOJkM3kyrLrZK4CTMBK1HLI9VQltMLRmMdWzaq84qcFaP
NsrkgzEMjFaAIVUhFTCtHlKC3PY16mcQs93g1JEbVaD6VViRmK/7STPt9HTcz0Nv+x3kllUcAIXV
Zb92ZkWPAHgP6ZT9wv15K2PrlOpQ9Elyv8x0KK3IpTPgU91DS2lrBPhEWSCQ0oKkSHOYuu441k7M
GDbfF6au+WFSLvUq/cnTCy7uiFmEfT5M0r7IStTFzJo+VoZVPcgMYEkm2eH71VAOB6j9O6pkFfZs
hV08Unti0MU6qMRx6hJj5WnwPiYNu9OcuY9aDwjHrrTt4Jngs3r8RNhjXTUcZg/uvl6UNtGcnDpH
emFxie2iKHRWukPGylRb0QGP0AiH1nX3ODOJTy3zSyF4z1jgn3QX6VslD3BInmkdvh5DbJFj62Kf
np+amuIgHZ8rApqzTlGQ8rG9yDqHpzmen3pIO0zVP7Z0LtMiccROTHlC+WzTz71RAmksoRx2ldbp
PdvFQ8jFdlV29OfoDhDssfXLGXN/6zxXZJhWdWefapJfcyh3ulAfDEhHO5qt11nXvVhucGviEHaM
/Az94TyWOjBpezbxtfcUUNr55Zz0V6YItkn+OcE03THR85tB7Ypo0FdeKjFI08gd2RYRHsX/QtM1
r90AOm3GNWmwj5lS+drSk3atY8GjecLEGTzd2zOHhrFInZWonXv6Qo+QTJ5nNzyl3ngjTG3H0Sxf
eZX3WWX6PvNcHiOnOqCj8ACqBX4z+io23+BqlnyhjHse4yenjUKWheKqjSCoeOKzN0+1H2vDdaGQ
fLLGkGssyQ6NV9S9pHaI/N2ip1jJmF5PiXeb0AK5jKKrg+pD3c8mg+ZO23sdVfsxSatrZVCPoRxL
bZpBx9E/VR7HGutYuo28noW706YiJB8GVP2uzI1PahImisP8MBfFpZiDVwOVoEu7aZ8pT/PbxLwK
Sd8tvqYGXhASjpe0b0XpzHSjhQldlOXClKrY2FuPd8BzSCRZab1Wsr6cDefYmsZF1BkHGOq3NUoT
BB5xsGd5BZzxWGT8lVFSbco21FF/NLkhdbyJw6xDgZW/T8H+2/KXHfrvt/wz5Q/B20+u2fzUty2f
WJI0SBhhaHel8TW5+m3LN7gxL9wBdneXqctSzvNtyxcYcR3bAh3iunh+Fnb/ty1f/IbJFhsuJl1h
LVbZX7lm4xz6Yc/nus6FHccT7cBQHRbP7/djn8o2pmhwdEW00Ah9MaeJtzY6Tx21sdKPudPQ2q7p
U0cNVXgRqenZDQwIrE78SeBxQ23harsnsYSlsRL0bOhlVfojXWiUotph8UjTrj2tAS02NFLw9YJa
FtkmizbNGjJV0VtLeXm9NXOLDanhHpAjxeWsj9uQ3FPlt2ljLoR02W+rOoY0RsbF4wJC3EB1HqeE
qATtHVNeQxy1/qK5ARZbHJMrK1Io3yaLiGug1y5JEk1w3YPyhtY2BUSqaihKSMXlXDAz0LlYDzeG
mGkm8pZc/qUs0gMFD4cROWJt2RRcIZBa66Lpu43ZyPCylLTYldp1zHf+tlTusS1DNrOAYwjwX+My
b4p6bWpD4k92TEan1OKNU3XnsW3OWkIvwYBnYzUhv7JG0AdPqstjaWo1gkViqr8kor2LUv2OOU5G
AUva5tdalcwnIUltVOU2KO3wqYjYiVt3raj4gzdEz6sowi/c2eK1WaITmgWtdV7HaUFkd5ptDdvS
ZXdwaPPZ1FyFiId4+xKqJLFNfMWzY29MIw/PfUDVcVTGdLcRfWpHrbi1B0RZynTJnVG241EeVpqM
TyLtZMxi29t0Nk5dKR8aDxIs+x6yLH1bzFiiFQe99YgXhZyvUz5baumcNzTmE6ucLpt1QwXY7ruv
4vVftZi/DJb5wi3YC2YCHLiZZb1/sGM9HHTazuIrk06irUgH82M48T4NdLz+j1/03/pnsVz8/fr3
yHyx+1k/6vJjfyyALgF95vq4J/F/GO53dx5ymZbjWaxjzA31dwugpMycVD9IFjSi3/Gsfy6AdOaB
viKu6Rhf/69fmDO+f0qYMhKTx4pruSiD1pL1ff+UjLoW9HWdd1fzlGBEpzUJcze8nn8ZeDM3/WGd
5YUsalhZtOEAcQH8YZxppFzcbQ4sV3pneQ8M4DSbI3M6zXtYCNjaRZt38tA0ar6LTSKC0LLkh9h1
gueyiIk7BpN3NBxuS6VTW+N1OIlbMRV9sbGnwGFqkMSNeOnHynavB1X1/TY2sIH3so9WdqKl5yFO
uaVEZVmYfjGkeKjofSThzTwsf4qSyfMtl4TQpsk/WakcrhxZpmfZ6SWdYWWSUtajoDmmnA21dGle
daKhEGe9XxpZ+zQ+120yrJAQxnXoXdNF/2ZR45pXwVY1+r2D+TrH8Whp9L2aOn+FVka+J9XWy3xr
zA6KRBUlm4TaG+J76VR9IdZ3O9Mka9Ao24n+LsUsTulMHT87SdFsli6Nk+aU9VXVWPZFGnmn0oMx
MM8mcHBNE18k7Ne9VKF+BaIOInXPZSVKNTpqB2ZGhEBABw6b2XT7DfMhc0fg9WEytCeqa6oNfU2Y
l9qWAyO0XewQtC5nPhf4yEdD4Z9oMToldv1Qy1aMG9vNw9uGTBRHN4IM3qiPTzKlFoL9G994k3T1
Rmo1KVNrvq3s1r0INWxe3333frLgLYHp9xNzj3/O0qHxMNOnkffHrXxiahhgtbpqfLqyyePezXfO
SoPbDtBgT6Yr3AQ+nal+7YNPv5Bb4Zt7tf43bNxXVMqfk3t0SipXFh4HxCFdJ7qyTPa/08PYiocO
0mRxpczggn13XCcUXsI8lDT+OYnnV1yCt7Vpkz9FCToFTq0uDD4jvI/ZenIoAlD6RDng/IIvx9s2
YCaJMpZbIKMvHMCtFc7ZkK1q/FClpQN9Eqin08RiM1I+RmInzlYW+IFJ4Ak08nXM9l1JVy1ox/0s
sM+Y5o42QGNVtTUPhSfX0B/28YinWmCUKMBLDENwaSousAl988AXMYNlcbPhS3w1jJ7YVQHUPeqD
HgKSRIbITt1IXb3mljs94UFzvIrGOj3+F43u/SKyKMC0C+F5Zb20mR95PywiHlMYr8xUfaUTs9yx
EICsqHUgh1Hoc8mn3rf6t35Ec9Hi3n2aP7zmD5+mNvZO3SdBA01UsHHXbOMEZ+bG2csMUlbF1S+w
sdk6FTVgaUP4Q+YT/hcqAF0NLSVyn/QIqE7faF9UIrdlVVG5Z9/oav5kBdVLhjcca3pVHr9+Hf7b
kyXzv7/fk39vLl/X3fzXe8nyk9+2ZeaNlsvGx0UCW8x7/rlJ2A9jNZrbNw7Pt3uJw5CSwSDPocXl
BMX+z3uJ/ZvLdkqg1wA2hcvG/pV7CdSGd48d/xICMRZYbjqsZsuv8n4R8ZRGcZ7rYmIcI9JZi8+x
NlNzkwIpiGrh+ubihmxoM1qnicPR3GoPlWUAsyEyXWTZcIHTTKyyEIJOq3f7AGbpchDYiLrAZpnT
vYfvzY+d+HVQNeO6xa/Z5yTZ2Klz31ncnFo5edcUiz9Yi9uzGgQsbwyguL4egqAt1nr0AbPifQbd
7+wYSlsXozGQAOTUrY9GdJGl9N1KlLcEzLhLgnk1duabodXdNuBacJ9X3t7GbBqX47TVx9zXmvG2
MgZ0ChCBqVZd9Ug7gax2lt4wtbPQbpz6jrkPoeOpODWWg6mxFbsEQxDTjebTFFEiXQRB7zuMP9Yi
UjtGj3fSm7bhKDm9s7w1dR0d+tR5MYzQWQ/jQL8KDjd3XpDJRHu7EW9dwao3Ujq4SWsan9i1VAA3
2NIM3pou6o9pRCQ+s4IrdIgLz2XQgL3Ln1vtcxynULwrGsPJZe+GeYjWlXIgUvfUOuLLQffkstCl
7rUIQO6I1qDyF9JW24rbmHFV0XwG0PnF4Z/rJt6yqGLwFxrNx7DL5bqBB0kyoYVBy3hFLJh5/BKr
IqWSb0oloYKp2buFdzsRLLmuMuNUjfHo65VRYsXm4IB0be5m07yXFJci3HobVqkHrA/eRdXHe3AU
0cau1JXeMNNElNtiOD02Rcupqti0qb7DHLotRi5UhhV98GQjKWnmhqqaLATJXG3nyIENPD2ZRbaV
ef8ihwnXqehvWQDJiM7DG688+qNI33qnMs55AXq8MibK5Bk9s+WcvE5Tl72oX0nf0NFVG+aBUKn9
EmqZ44OU8FCXwdH6+gw3jgAhZPDyisMHWPCgaG7GpjDJi0/L6FeUFUho2/3slu5w0UPJcJWzrctx
3wq1nSw4+ULVz57EoU+rORmAkpdAOiphYtcDQfvO4i12A4WRKpwfRFkYK2lOw1qUzp1b2cfWmN7S
sEo2RmLdwoYPjvbc+3PG7JDEiuFhEaQUb17KTD/Hc+kd2sL5PDoO11QXC7dF9ntTGM1NWwE/UPVJ
JajeTj2UF4UDfgONDXVX+kB1lvmd262MceInIJ2vqHabOOaqL2mprumb7jYya/VzH3YocJ00N2pO
j5WZ6/6s29U+6KhIJ5cD6OFiiM1mQ9vhc1wSGLZJP12GUtNPYqitN11XyX2hy3Kf9u6kATcIke/+
252YcVn6YuD6+93pOv346WcB9eWn/tiZFpEMTMH/snaLMeTbxIxNC6MdCpmN+fGrxeSPidkSULfF
Qv4BKPZ1+/ljYrYwfrCmcO2CjMsByvuVnUn80N371ZjCRsGFEQqcuZBQ3+9M/TQgPUtnOLdjj4m3
TT4U/XTrFH3vp15wzowq/sRQJl9Fk7iH7MDCLTTkfmf4ooX6lrSghMvAWhC4fIfzlNSAw05EbeRr
HeBTGFNWS1ztt9JLA6SrQu2GXp3cDKhGWDqvnYju7H7+EGIJwIkPTcIs5XoswozVq7wQi10mcxZM
hZdv59S847XIAxu038BwgIQxkUx1yUup2T61ifeASROtOAk+x417kpiPdTmew6DZFw5yAiP7GzPU
9a2kBG4Vy/56NEmm4OUjJm2OXPqWHDezfQS+tag6RoASp/hQGnuDopGt1xIVR41zWc5L4YtE7WzQ
NKtCZIzZSnlf0znbT96mE8Lv4KCsqhoQb5RNB4L4ct3moUtGaH60vM9ZoTgFjIvt4cLp26dOn6N1
GVNpIUXUr7oJRdDuOXla4/TW60S0DWfrCI1yDD18DAzGgp6rEfvBC49/G1lusTk4FH44XNWCdVDU
j4VmvZJDPMLvwug/b2yKJ6rGOHQquTEnMmOBZd+6vEOKfX6lFfV2SNOrWnq3dqS/JuOsr0A/IyyQ
uSZ7NzxkpnyOcboyjRuQ73OOwJ0Bb3h0jkbs3mspgQp71h+jPiYhnMfHWaiHcqyviIoRGCeX3aTp
m9TCl7HX7ktBligcb1vP3uq29tRp8SeoOeiSdBSv6zJwwHKQdjGb6oszTXd6x45bSe/Ex3Q5xA4u
dpBN8gspHV+Z/DlDN29LZ9kZ5RKFpgIhdjF1BM5ujin6rvPiReT2s8iaaZ1P40fZDTxfBim1LIBV
2LfFpdGnnxVPpFeLDCAB3QipfdHZ076w28+9JmHbhuKeYlkOIxH9saq6NvShhY3TjxtMEOGKHsN4
o4Wdu5qEu1Cekse45U2akUW5yzGTkZl529qlz/2HuoSs9ny49gSuwcNfmV3xODYEwQ+C79wzPbOk
GAnwhwEzyLmVoGum8GYaau+gEpJvhdOMOzh3IOe6QQJsNCgM60IGP1r5BXdR65GfqVrEnFDFk99m
STU/9F9VVKsfXfTNgJvMXa4ERxOSCY+RjAtfosLqHJXAzUlKOCQC7aLUujFD39zbQXNCxGU+toHe
nl7g7XeWocQSvRHPRW/FzC74uqUhj3Q+tPYqxJoS4TbldpdtAtcb79wSzbggiTaG8+dlWkuHjbuJ
UJ111OcuyRgkj8Rlc9sNN5CJ8O07V6OUK4K0UPjdDxFaduhyZGhRt9n0DhQ7Lk0qnKqL6zTqtuWi
eM7o4kVJ1FRDKZdhHlylaOeJtO94d41dharexCibqOweantN+fg6UMNrY8vHohBPmc553EShj1OB
kFzN85ILfORKTrp0xutC/OlqWCR+ZkIDzRrppY76z/9qglHiKFi1FqYaLAJmBR1XJF8mvANl7DyW
VXRCCnitG9oB9Mw527gN7K7QufiGYiUQyklfYC/SlfGqj/Gti1uBDw/bQgyUr02ch6zvB74hol1b
gxv6hD829qKOYYqgxIxzbNHyZZr46jlIaU1oHpjrUCyGyAYiDKHZuNAR38BAXtLFBI5i0eXSwWYe
0WccuCJi/p0D5FFmxuwrJD0tnNtt4VWUfXdeBAaNidSiAPaLFmgiCs6B+qhN2WWIWKgtqiFHnE/a
oiNO8DTX9UDWs5E44CaAQk5QfRrwthM5xG+HzPcQufYxLMtP0YxjI2C6do8hbK/l5gNlNdlalXwa
qcNpr0v0jasYyNvDgUmi2ii7A3LB7lC2EIIGPFJZyrNGSo9Bf6oHWn1R68aEspgGuc/8tqEJpG28
FzNrWuf034no64looWL//Yno7uMnincYpP+kr2z5yT9ORQalZJiAQBVCBwDE9e5U5NocmL79P/zU
t/s6Rx9hS901Bf9hWnhyvzsVMSlEkeSSzxkH09GvnIrAJf54X2fkB2aaabouESV/5CeLuM/5Uo7c
XVN3qbaP0Fz6MPbLeLGGjC2WiaQR9DXJ/nmIs2PZjN7O1l2Hr24UrdUU0C6cuwbFZbaP+ZM9Zsqd
ta1H2lFv54+WMucrr2vfBrsCPUO8blWm6k50mn3Ke8S9qRfVtgTqc0U4x4+D8LGFgjroORU2nnuR
teaFrI0vyTg9DiHHB5mcq5TwpGHuvYjTkhdn4SrKRMlN1iByPAka/HTZIOVxoOC4+hY78mGwtZek
196GfimhUZD/xgFXCZe4zxUEoVWia1etjkAIKxbAVoLjtveoyg3hL8B6W+66PccdSt023VQ8hllx
Y9oBrVBAB5xJduuqa3s/qHddcAqiAy1Qt5BfiDirt3nJbOfXtkG6F0rsVc4JYB7jD1nFtRE2T5hb
970FeEWPv0zBYo1IzRuXsjRy/tAQ+qDBW9liuO+oM+nSMN2OLajIyhPVpranuwxq2KZ1KJrHLBqv
RRqSv887zhOFnLmJIfs2CtCk1trNRrbBPgmxnmRQhSDcxrck5c3NiKdkFU/s+EZk9RuroDSrrpYo
Jo6rdUJQ7QLDMnf8kRgaEZ0dPsUDJ6VoU4s2Ih0bW/tOeVPymAeaE5zMZs4+gOlD8k1RPHn7+nk9
CkL7/RgNfm65XxqSe2PYn8OWURCnFBam9usiVS/8FCh4jgbvDpdpJA21BWFjnB09GtfNDBcyMKd8
W8qhOGWzGT1gyX2sab3bC9t7SaIxA7JQRudBxibopw6ZenLvvXw4CIBTZa06Qn94jGvDeNA6ZWw6
LBj+qOZ81w9AiTPJOMlpSIY0OS4uCLIr0fSnEXjEPU8AlnDpFKAj0/E6nzglu91Q3gdV/9qQBTk6
idnjjArfSoMR+iwnnby5caUBYsbEToIx0yyD/aft9nWn6r1JcP2usqv03BdOfp+YZORLIwqxH5f3
hdtu2tbm8NXNlGhF1n60Ob11SoN7AGaAAr+JYLWn1pqox3UGKtK3ImLpxE7wBUfKvmgn/eOoynUV
Do+4/0oM20zpi6CMNwEDppU5Su2gad7wksTDQFy/UpvIbfMd+MzkU4KKvE9JWa/myr1IhnDc9/iP
/br1ZrmpMRCvbMurbwZhqMuQeOLJ7aerhvscXiOyRxjh+GZmPW2fugsAycybk+bOlBYaCfwBa5z9
//ajr/vRYuv8h/0I0G72Exvr8lN/7EUMiEk7sZ24iwNlyYf8cUMXv1kYStiPgOmyXTG2/XMvcoG6
uRhbDBJGTHXf7UWLYIX3dRlFkwz6lb0IYt27vYgxNDou0jFyHNAeF8Tn+xs6/IO0TMCinIHgwfFY
hM01G2T3qY4hk8tkBA2NIVpTWKNjw3tULflatdimAdK9tll65yyGalM3N13bYrHGa91p+qHBe50s
Jux6sWNHVc8JCo82TVYv4KVBgS/+7ayqDlVPJmOOzqLVDuS9Tw12FWNxfneLB7wHVsmy4O5z7OHz
oG0c7OLtYBfrAgN5sjjJ02i4NUX77C0ecyvJb6ZEM4hiaffa4kNXiyOdbXMbKPuYxk9IjS/DYl6P
rfi2WezsxGdwfVtHuqcYcrMgTYv1XS/lOVzM8FCrjzPu+D7vjm6jPpfecIxM+HKLjV4uhvogV6dh
sdgzqX5mKuY3i/meqfOyq1Hr2dSPEf78gDa2xczzf+ydyXLcxrZFf+X9ABxAop9WoVpWy56aICiK
RN/3+Pq3krqyJfteR3juiQd2yKJEVubJffZeu1oSTHwY8fB30sxfcN4miXOcpM1f48/g4/uP5vIV
wF6z7v0kWg0yHBDKmEBOXsCXwYHayR4mkgRNN3zJZLQgIWMwOtWm/QwdZJkE5Gprh4dk5ZvnRBBQ
MEkqdDKyMM3uY2y5a8mz43beqDLc0JByyGXcoSf34JB/GGQQYiAREYW8rHoZkqh4bFYyNpEk7bNJ
joIJg92vTFaQsAAZFTCZI3SHRujlpDCGBpa6Ri6j8V3UdJIagsSGKqMbjs17ZLC6coX36Vse2HeB
P226hGx1VkAaLYTGOll5H43yZrbytRW3T/y7bV6g6Bu946wKQRVRGLfU+MTpwR2ze+tQaAmgMpAH
FhYJL9T90LO75oM3+Da2a/AqeKTxaQRkrZOj1lWrsoBYpiY8W3qludP6ehObyYsxaRs36JibHPOm
kbzQtsAikOfZtYvDaQ1xfm20YPtnv19NoV0iqrjOMplrVuugjOIMJh0KyEYExU1iGuvUBXaTcGYb
ybCPwzZehvV0ql3+7g3/pmUjw0I0onWWhWH9FOYtoNDPVlpLFtQKihQpq3VqimvV0q1u8WTRZquN
0Rrg8TpRQopuhf8BEvbdx7qxDCkwyFWq1Ox8fGys+mubdBVMtuJqBzAZwuSqsTVx4HAsub69crS5
2eyeMUitQcO1J01PDf5wJRo6qrI+xoCXRkoNIZNyx9jzMgYitSx5AbXFuNat6RXyvQdt8QuvJsIq
0wPfaLaasbKbIuWQV+EmTJRdDnaQxPEyiKHWwEGOswkKBD1cI0rGZMwocu2TVtVeaE6BJ7Jx3Wcg
B/QoPtgRVm2coFIM2gwEorIy4xvy2Eoq19hJYAer6Y4glM9omdvelDVeGLnPGUw7FjnhoS9dzZur
yF2PmdUBbs63bqWe8De8NQO+XyA302jLugTX08vpyIS1G2qdpjyh1jdiGPjemgsQ4tuuqd+A7ZxZ
Q3hNbNyrEVA+d8JrmtjYoU0egAnRHxU3bjVKMmOi3pmd/15ZEqPXZ7vWDZxlY/dbLbDHpVKZW0PP
Lr469zxP4YJFbNQczGqh0R0HO7+hpoI3bZIujcB5gUqxaAm6sONhtaVusK5jLe6fVFHuZPsifaP2
KolTzr8xVxalVdzqHezqaK5BFQUAxeNtygFYRv3Jt+b7ipKCSrRXX3R7HPG4vfFKj+7kYRBZW1a9
0oFKFVj5PEjhM6ewvnbN9kbN57UDrGDpovtXpfo19RuxaEX3RY+oBhiEqe80O7hoEmAZBFdtdg6u
g/A2A31ZW/OwVy2aGgrWKUkZxKtMidydHpjdxg3Hi54qULmnC9V0H7qY13lWeo3VrpraUdbIODm5
sfY8teWltZ2HMerCZWaa5BMy08VTKdLnhKJMLyj7j7jpbuCCPKZdvqNb+BC6cH66OrrtsPWJqP4w
g2nVdVp5Ckfq0eP5IdFoRzZ7hDUmzSY3r7XiE8pT3RfFqp/GarwZshDMYpfZLHecZauFNxiR4JKb
Z0S2G6NtOcaNaUebFDkwEhhwp8gUJI89pEj2P0qurZWZ4kkHZEWqRjthyoTdkM0e4vQ3o9c7b+qL
UVp8Xt15Pmt1pmMCsgMvENp6rCnG83VUyxZZ3W2TIxMyx+U0InsX0VMRi0uBCGgkNDL0BRJb2Lzh
62K76+6hnJwba9zNgvOrttG6czN/GCflsRyL+zQSCcqq7pVpxDJrGs59AlPJmJ27mRppL4VMea1b
AMsmq8itIQFIFnIOc7DGI/a7MeF/0gmEdEz84aiQCwRLA2yL0I+1lyaAP622m8rRjMnV3bN2ly2e
KWO5VEvaRJbu6/1tc4TJsSpw7EQHc0MT77ZYh3sz2FIfsvl3wP0uuPytaRGDxP8t3uv8tf72X0vi
pUP6x6CrGb9pOmW72BPNT1ryH4OurJtQMUMYJKSRPVRmzB+Drsl/wQPlkmDGpWPL8fgP7yIKDrZU
fKlM0HAh/8mgq8n++l9+klAy2LlZtkn0C2Sl+qdVlDuaCue/Hp6UhA+C2WftykG42Fk9RWx9rcMN
b/E4Ad+aFNtekkZAV/GHqokfoDESOJo5V095LRgDqjIYwdjaag+y1imm104z4KB6wVjNnaB5B5gy
0iyGdQxvOvU/FeOZVs07nOV10GzaUknDO6dtKS0wyTriwoOnuZiDOb7P2M8/IBnEArOGSgW4RiMi
bTtxuC5LbAMFLu8tzS7I32ZnP+Zar4CiI5j0WBL/ILVolvO0NHIe20ul4ZxMOKEuetKX7CWq+EUx
S24bV6NKgl2EzwNfC5wF0nt0JPRLi3Pmz1mwdCLLX7qFoD1AzZaZHncgWuzsZFt5f5sxsq1q2usN
WHV5v2UJbyKTVM4XQX3OzInkFvOiJ1UzLmwnMpkuaLe9RdGHZD63WbRNa3t+y4QixxxjavLlpJLb
FGsW9jHPW0PvIA06vd5uTPQWhQU0ZPoXqG2atkqIvK2MmCb2fEWvJqu5FWzBWabUBn2eXejGuHlW
U1kHGxs97NrUffyFDV9zde3GpjDB0tBIcKXfZ0N5cvWmJPmi8Ld5ybG4qqugkYmqwC+6ahcKrfPP
TiTilwR7/T1uhpS50Oo4r4dcjdKtquct1kEH/PCu0up43Gd2ZAzv1uAE7xxd9gYSnw9pLyykgQ6D
ZKM0E4oEoJXEiZrnUNfK+lwhB7Dbav9dnmvfT66/XZ7Lk+v4SgaIA+pPNWr6z/tzwA7cIKzPbQjg
n67q31/ngiipxmFBJxrP958PLfs3DiZhO5xJRErxdv1xaNm/YWfGQ49R+58X4fxVJ6ZRx3EIvXAD
2uLPRxZPu67KLK5gtbjUVIpPrCR/0isufzX+85X+dCjK1z+HrsU1y59QmgHQvH+2n1qDneid3XXn
xoj3kf2oqGcX7J2x1fzL0J9wQf/97yfkDfG3v6P8in4yvEq8YcTR1MGWouvL+XTeTJ8unEIacoa6
cPZ9y3PbknadxuLdN1XQBkbA8G3W2qjV2HtwEYmdpYPpnCpgrFqDT013woNZpI+5I5JlWatsU5MP
d1SeZVNhoVFDbQNrIJJZy+Vsai7wKqOppfT9ZEEU4OexNg1l9GuEDZ28SFRsfAaqZcSebWHXnY5M
R4mrL6I7ZaCpo4tunb6/cU0dhSLqD0rl812Kcb/6PGYqYojGRNDXGq4+hAneDfq2KLRLz/KNu3KX
q120SOLgpmABzkP3oVaQ0vv8Sz/rl9EOtz2x/JVG4UTUGhujxAcdmSN0+WKA5Vc3QD2mY9HZ+JaZ
6jC5mRyjd0UVWlurKjlw82pbgcVtr1jD+RddVo/FOQ2MQ8tSjpqzmWugaWcv6/TqK06ig2UNR6ie
h9KOdmMykHLyAXUmp2m2nhCFAW5zRAHuk37k6I3Ov2+pUpirwTSOY2ns2ZB7fVIeWn9gmp52dOdc
VHwOuV9xek8HtP9D58Cvb+dMXQbmcNP06lMFT8QwCirF8/mBOqZg4WdTcoq6/JInLSyF4ZTMyV6l
NHAxlhbyZUt/ajU64BV61EwDJg4P9IeqJWcTK2qwFllJJLkb2k3qiwb0QDUdUkpT1qgyN2n2zVWG
sxE6t02HKVILoZyEYb3WwCP6aXTpcuVu6Fn9Knxb6FBZOZG7sLP2mx3ygtesGE76sHK7rGPprIFe
tTzYg9e2KzjXscFZvCSHul/zrPd4pLH9V72iKBiejUvm4/sdRl4fbZr0t+MU3lq+tsNq4uE5e2Za
X462WYN7VPRlzMMkx0VCAnJDFhzLCIYNIGSAIvt3lUdGDhi1Muhf4AQDpgt4WtejlaUMvDeCC9Vv
R8OMoSFkJJDNVWrnuBX9m6YptjXvu2ZuyZApJ4gynhiUHQfFdXKCFpwzZHqduAHLjkejbrDNwAWr
5EsiN9Npm1CatatTVgERuFh9UvZJM99zhbJWSttTVBd3ca96cQz1GAkPHc8Rr24Xv8a2gwU6pSgv
htgyNPUEuX5gbeD3zvbfcf3z0jOYWv9GjwZl8/p/y/T1v+WM5C/9MavjDSPmpTFZmy45S5mm/Ona
Q6tlxYmXGNLRzzwj0pkOldmf3Z7/KRb9Matbv4Ek0wXuaH5OiHD+owUpFrRfLgmuI4dlpquyaTXx
TgPY+vWSsLVAS9PaLOi4J0mIe0MyD6iFH0cy4WIMtN2A2zTVp12e5Uza9Cq+ZK69z3oaqN12U6TF
yWZ4i03lPCv+SjXoGk1juzikkV2c+Wg9Tqrx7LglW/5Gbv2UdtVPyf13LGo7A5EOEjaVsX0dAwLJ
Cx7cpboCtQkp0jFpU9SoVQSE03usZPpN6IcEzk0OpVxtAThTyDjHNb1JAdBLuPOzX9CoqNLe2Mke
R4VCxxGHF1RcCAN4BUwvlP1sfa8+9LIIEifNIGiGbF0jkXtd2Oy1+QYMPVyWskmykp2SXc8CEQo0
yZA8fnPZ3K4m2UHZYeSGtBPuOHP8XSqbKunQXhU5hCW10NMb01SGA9h2WiwIcywJCj1EVUZ2NcVg
zBV2Zve5lOWXi2E21q3V3ddRZfEcqR6o0juX2K4Xug52e8ROo1d+h+qfd16upOVyMNRq6cpNalJ1
x5JeENAERbqee4UtoLmHYUeZWX/rxliK/AH/yDxoW1tHXJ6S6Fuv6ccgn0+zyHraxWABdXH9nEo5
haoImWA9dKGDVIK3kTdat1TmsV0WshW1KWKd/DfRllRYCD3WNfEn6jkGoktiDlaVkTnrQSneKoHn
TqgNif1hZVTKBhs8oJ/ozFhyo+ssQDKjual6fmb8rrlUkdUucKRrS7WnrdVAwmxyCgXjblNV+tE2
w2TNe0dZ4okutomWe0mpbOpYuSRj0Rxnulv57rGJ6BzrVlji6JappFX3I4UsBgUb7GAWejET/DTa
BhiuChZv8FdN0PDagCbYx/kxMPwvU9VP61RxNkGjW57Zqo9GVX2hK8aGbBhTdtJanhMF12DQDtqY
eXMwkvhyv9XWUHoZlmqM19YuqNB1Zss8tF1zjoqmUq5FYafz+zSmydbOMs9NysfEp0eFN9VNwwrk
mHdJuY9b96VI1Fsw/Vikp2UN+LScgzXzmFc2Ax2/yrpWxU2RhqeoKPZj3JxyurT7HDA1PmkWwH43
7Czf/JgtpWMSG3RjE3W+3S8wf893wpqPQcVko7HSWbN3HReDbvH7GpsyrTeDnIdARWwHBqTafGnk
vJR17kPOTQ0I7KYWhKSy1twNjFhBOV/Q97Z+H1FKanZXDjtMnaDQIQFBvSBn6zOw6cDo0TNYnzjt
TcFIZ2u2NFjczbgKIVcz9YVy/hM1+y8jo0jODTQGIDkn6gyM5HWDbSVnSCGnyULOlUrHTw5dDDzr
5dSZMX7Sq/ZsG/lHwViayfmUvPTjnAcHU4NkNsoZ1pTTrCpd7Dj8vzrS1w7C7QjTlmNCVS8sRfgw
SBf8gB1el754FYN8J53ymTXe6tI7r2Oi1zDT08b0PGGux7y5dqXbPpO+e8fAgU8k6SmXnnz8FsSb
p02PWV8t64uLeV+1KOWRY4yJrT+W/v7ISrb0Q0rZ0HxwOt/jd+6XumvcazIdEMqcwCwTA6XMDlSK
OI4yTWATK2Ag3VJCh0VPJg5siLZCZhAohRELk1gCf9YInxndEi6VF6HMLrQyxcB2bIVS8BG4bxEh
h4awQyJTD4KPINjelOnJueBRWasyIeHLrEQpUxO9zE8MfbwJZaIiktmKiZBFxP/OkakL0yTDTgwj
JDTKA55khiEzGnxDSWuI8VY2Q2lZiYwjEx3Q8rfAfcl4OHWwGyly8BXe61BWaP5C7LC/qM0c0QFC
6kTGRQKUdyWs7gQ5EksGSoLQ6lajDJm4pE0Swc5LafRNLYMofVUdSc/W/NSUdx1ZFUOGVhS92nSk
WMykPA0y1lKSbwna8VadihUVJNMafeumIAmjaERiwnnq1gMpmcTF4dDY9jULbbak6awv/52nPucp
WW/7v+epl+7r61/1A/lrfhqkkOxY3rM9/z73/DFIaWS5YTFCNkbn+6Q//hA9qdjlA4Lkia79J9HT
oSIH8yZlOEJqqf/MaaarfxmkCLdSAm8QcpWOKYJmv7y207ZuVX501XNLWZvv5iZ+cl25EUrH0ITD
6Ep7CDNJbrgnWdu9LvjJX7YQaOqCJulB9sJFhmse6proh/HZGjdYGHZoU3TG8ljTKlH2EKda503j
NcbGbsAPxCkx45t08U9SdKJ6vBQ20GjSRe5iArMHrGG4Lg0Yd/ekcHEWleUbahnnb/lQa7hlDECQ
4PSqt1TaOAtp6Kxwdo7S4kmnCugYGLkbHO/GRdHp+rIGd9V+kmYGxcc4DH0mBUMzgaOxu+DNz5wB
OxLhlkAyaxwIsYuqUG45R9KLK8k2mWTcpHrNem+ybc+PLAOuHrGt3J8ueHHrVQ0mpwGXE5rVyZH8
nDJMniOh37eFW3oKiJ0SY82KSt6HmkxcVDW7ziJ5m83ali3QN1VyeuKQ2k7APbkaHxs64DOAPvHs
3muEuQDPsMWvhXoPMISEAN+ENgRmmEoykGjN10myghqgQY6kB1EVTCbXpGvSUC+OJAyFfnSNXF5d
SjYQYJomlYafvPxQ65JNW35y5uimn4pgp8cNfaxIBqOpUslSZ1TMWFR/WSnl62Xq2TOuD976bIxz
V3CwukjOCUmxmhaPvHHOriinDb05MIqseIfQ4HKY1e+iAhXpznZwVbDPLubIxCnbJ6dqEh8p/CNr
UVvAOTl+oYIBFFnmuawPSsyAjrYsWecpJvUgKc4045VLNXXOTGvt0rJcYrNT8ZEljIMN2PuuFqey
KHnQMqxR5UFQT+sYfDVT2cRjj4NB675YZfhIJUZH/BMWpwhz8uvMxbA+xCLNIYVicXi0I8wmfvGV
nuVNBxBmb+TKVXPKDwPIbheOmw6lYZmTXl+qbc2yAN98aWX7sTVXRqCfJy05o1WPS1fqI2oRP6mD
/2BmSrMlLQKqV7EfqDs3+bLFwS/J2ytOBzKqovm1U9XbbGr3Kl0eVRLfRhHexi59GdT6K+6ugoc+
KLOp6U9OnXTYDgcZt86PlDdCKTKUPTWqBrZQ+RLABehhoTiolfZGFlz3mnZ6KnXRLXqtXJcNVOKi
nStvGvtd4s8qHg/1NKTD15C/65WspV3mFs0HhSifdYoiXfaeFtWFsewwdDBMtuqwtusq440wVKgU
YEuTGCKZ7ECcZBtiPpnfJBpzqARuOwoTK78WVLHQoZgQIY8pVXQoV8SX8qBRtqgpzZWvjyyqTFoO
7rGWty9fsBfM/YAJMTk6uAnIP6q3EKq+TLLVMTB4ZbEIGPdKMim7IqP9MYe91ifVndEp7yH1kI7s
iSxxE1JVLNsjfdkjOctGSaBrq9qvQM/JtsmM2slYpfLS0Q1rWWnNTD7FBpsmeyonh8ZKisPP7H9Z
2Ms2Sx54cOGC8QppE5eTqb45svvy33v2u27xt/fsXZG+/rfKeuPXm5YMNTeYDRMEUzdqxk+ShaFa
jm4jTgCykf/px03r4LBzofILnVi0rakICT8kC+c3leS2CpnZENySmLT/ARpFc6Qk8euiGlM3y0oV
bx54Wuk5/1nXNpwsro1OTGenDeoLD/jsNtJK+7lIDbGfhiR5mTR6mJ22V49M6j7Tah+Si+05hNyh
vQvVIt2QaoluLFJsK1tpIU9EVbhysKikkoDaS7enKX2f+tjy63sWGh4OVew2BSFVxXH3oyC+0bRh
u9VKPXmLfDXfxDlwVfovWTXiI/+ShWGwRyWms0xpY4/EJ3QosuM0gk2PrqBeKtVfJz+zCSXhZm0L
ZbjJpcO1LoYROB+u1zFVz6wNCtLbCe4Dq0oWSNPc+6JdFK7eQuKNZ8zTpHney0kbjGubZx7RluCD
Mf4lHAMfQaRfRvJRCduYgpQ82YnZJfJl2OISaMGzmkwA2/R6bZQ5Q0qFn1dtlU1rBTMZkE7fwzq0
VylihqZw1SKRu54aQu9L0txY9fAut5bWO4sIRPG+yugb9Yv+Ote4McqUzzT0YT7wpslzmwSXCNxT
rIMz7Cf+dpROCW8jjHowaTXt3DQCtrQ9lLsqbPadiL9Upc0ZB2JKCvnxSgMaHQbV3OI15BumDDCl
U0mX9sFMx4YCPJPLbgRAnX2SqCWTGsp+fBzBVCsJV2KlBgUJcdK8Q46OBNSaJN2VqKO+SMZxI8Be
i8+oFRX0kKKAYgNcvhRAstWgAY4INrtE3BkZE2BLEFaTZG1LMrZTSdtuGpPS+Dy7aXTt3ZRE7sYa
7nri/ouGC1qSEnmmZuoZc9g2B+jdA/aORzAxgL5DSfyeJfvb8i1GKh6IQMGzOWoXFphwl3ZBgAKA
w6fSKwGJIyzSjgRa3PLZk87AxjNRf9UJiXkuGHKujg2zwANOQqoSyDTi1CSE2X7CdauE5+QSHGz3
ZkgjKjQkPKl+MR7cIS/5VGRRctCwHNIKPqXFvnTpZYQiMx4CWoB2/x7G3w9jtnz/+9Fz177mUZO+
ds1fnz5yP/j700eVcD3ZHPL7I+b3A1lGj3nxGP9xgvwSslExdAgYerbA1IN7+fcDmdWpjs/DxSkJ
oFFA9f0HB7Iut7q/HshoyAjZUDl4SEE9/9NqU3EUPanHtDh3+HTnI4YMMz5phhqLVYtt+YKfsAcV
npons6wuiIpvRkAIphbZfa8hrGZadqhE/cLqaJ82+W0EcKlVRLHQYwLGpnnELcXYYw+bQKdaqm6S
Q6gOT3Ocv7sRKduiFw2BPau4Uiy51jJWj+HMwePDqxQGm5O0jY8tO9ARiAiRjj7XvgoSnGM/BOl6
CHDv7lRbr6O9SKwWzLWmgAZQScggcpV6bLFRVDEnWn25syM721Q2+T7Kyox73W9RVvxsiEHZuUFo
HOo4al7iwc+9rtczse67Pp4xwsY3dpNb8TJ1zWZYAckh/9E4NWyH3O7nVVUHarXKaBcPkCTHr51F
7mdI8ye7xGpHZmjj9NRQlpH1Wvrkje2hYkBy0mHN9XDk+oHV2rTIM7STVTP0m9DVV4XfPwjVf1Tq
edfaym1vZ8u8H3YwFTwilYdxMM8uIMSFU1IgnYrbqYleS6W4STusqEXbHTsbN6St0LYjnbfAGG/7
TtmBtluxazw5Qfkh9BqDxbClUAmPcbYN/OoQuPkpE+OpK+j4nJpbN0y3dOU9JG6P3dQG+hScrbDH
LJ6Wd2k509UXeWmpbgazua1bSMXjsIst4ynD4wkl+dV1mn1Kt9fSyWiJit2PXCPZmlonnb6voXBY
2s5LDQnYj5oLwNIXopi4kR2vVLRVboenuaDWB6WcIOwpZ+nejOJpJl/TU4xlZPLFZpDYHtZuGJ5i
cK2N7hJ4NtcY7fe41zesQ78IM147UXss9fZrUDjxSn7rA9u9J8BFMFzbONZI6BjWUOeqp06E6MTx
qbbEtYJM0c7KgxnquzSW3+GOZtkk2zUQ/J2IynW/egfawVshfcK6/lCo4W0bKmu/NA+64axJTJ7U
mJJ3a9IOgzF+7fkilm6ueUmuHQg57wHgLOuwPQQ2dscI1+QY7oqGoI8z1e+1LW57d7ytIcou/KA3
r+w+N5E1hCfLN46TKehXScFk4nutiJuJAp8MNzRgmbE6qyjYg8aPVOcau1SK21TPcgOhd0/o3ir6
NyoCruHgOkphfKRSr09T29PRzNt44scPEb0sAUVLWV3R/S9znR4HKbg7WXefoMDrio7TXYryQsrz
2qdQLyV7JST3Q/43X4lQO/qGcWtIgZ/lOdxZKfr3sXuJ2QI0RuaVci2AWqAg/9EPhiH42LI7QGFf
muwSVDzydMuhbUaCAcqVGwdW+8ucHYSQy4hwalhbU9DkJwedbYXG1iKzqlMp1xhDlb2VcrEhZoU9
LquOWC49IrYfZursCOjqXi0XI7lckYABo2ACinch1yciNBHh2ahkUcpqhR1LJornVi5dqGnol0o2
n3gUH0f2MpZc0CgOenoJLHeUIcCcLY7FNod0/Z5G8a2jdOk6RXGA9TMcWTxOi14ugzK5FnLlgkjI
VdEQldU67qZDIddIlh6dE/ZKvdVZyzAc7wOLqo0QOmYuedJOcqaGRFuGcj1F/zI1JSysyCC6uKxZ
YlHMnt6EJj7if+/+74InCuH/vvvv38PX/xZoMvlVv9/7GoEmliQ8trjjf2FUCp2aHJ5nBhAq8fmk
+vEQM9TfmBO4i7mPueJNnTfaj4eY+xu5b3yhQHXlO+yfSZ6mRjTq13sfN5cJ65JGcabvT93154cY
jBC6Vvgyzj00/YbHvv5AodU2znMFpHSAo4aEpqn0E5uDbkciVVtglbZWWu/uWzOxlqWua+sgnu4d
pUCPjwmp51oEPt/KVnFXvgVipK9+bnFTbOhT7hRPV7rHhsP6dsriYWPVFqk8Y2IHOdrwkQSN4nZf
Hwl8dTSmiHA92trX1m8+VJLxW4pmTtRYyo7noklW0djdTtp4tWkSv1ZllrLlHBxPTXOYJA7Y7ZTm
7kXQubgd3dJFucxWzpis46BTtloMYj8GBESMNfqm5WLsvEayG1o+rBjQSUawFwNpoBMJTvxcO/sC
JWzscv5d6OZbW0u1RclvP0dpvqjxhvK7sH2eSbcsat1hhteHIwl5lJFwP+Zi29Yc50zvr22qVzdW
4Jdc0b256P34lgpvOQDd9AoScW1Bd4myatrM8uNddzUZTtI4dWixoHeUh3JuaCOvOSpVZ2dW86Ue
qIzULfeJDedbURenCqv4otbCPVjHC77Z+6AHjTugAvWJ+1GXxk7t3COTDICOBmaolhs2q8PiOR7S
vZVHL2PcNshVyscYONSItBTapP0XM3ffy9yudho1Bcs4p6OYmahYoK+xmA2D8BCBfWaf3UT4W4uL
M8WPLGmzxZCRnEhzZF8e3xzKpCPQbZsnq29euHbpBhLFKgki/LkB2dIyrR4L3YVHrLIlHB0r8Bp1
vKf1EbVa9Poy6tV2hXEXFxHOKpofu0vZkGRW7SFeocC/GWX7zLPtGzQRY+3r2rfST4A/j2G7z6E5
+oqDcY3JbW2Nuk9tAnXJCT+uG6RG+B20MNeLSKMAtDT0nQIRehMgWyx1p+CDUDgfU4yZKWm+6tLM
4/qDvdLiJvE6q/ng+WXx1Ur53oGlUOZJugaisLBCutHt2kVijfiM+LDqCRyEs+drEG4kVW6Y+k1A
j7sXOuNZ7/2tMHMk9fxsJQ4R2GjdCcQ4zx+OLv/PxmjvSrxzS2uyL0lmPdludk7yCtqLHk+eH48M
wmziq+i9ydtnOw2xV41IDkVcgjmx3XpZ4D5etDHksaQ8CtFtGiV7oNp6l1TBoSU1tNUEdYCCbElK
k3cH8d4eXH7ax/GcpYKpRU1fwiY6mVaZLyx1sHdxZR+Em52ilupSRccO0EwC10EySx5W5AWYtIGb
aNGui6OD6KIDe8SXVGN94nC9LyzNfzBs86mrm7NAxiYLVbjeGGvWkspi06tz2gxAWmPB6NpNwOwH
O3omGISKNFj+08zqhohNB+Ql0jl6+HXkv0Z4dqlXxsnOn+v3KteNFZEOaQ4RWwSFmckB3LfLX+uy
b8Mn4evXdiBGpkfdtCIVaXhJX1vbpFI/TGq7jSg6RCHlDWPKpjmlAFrNopfZ0u99md2v/QK4T8uO
IIm1W9NxX6jnBguk51ehgDYi3vNhuR0F03TXV7njg9XprzVrfz8X933YHNVeoRIZI2NEfHTh29k1
pRt2tCNlHw7pQ2S2uae2496aHBL4dBjh+zFl5DtdWjlg8NQAdz6r4XHOB0htyAIeXeIfwezfY8hn
aNHY6+pRWG7GMP5Wl2RxCi0nhTXMHrqSQOI21JuBvc62dcq1PcAkmqv5OuFlWcFvwaniBncjJrpO
KFvXL29cN+tRoOo9JmCwT1oYLJHuJ/x4FhsmC08hZsXnrFbXbaC+Vs0YocGEPAjwzlpd9iDM/jDb
OANzEa2M3ljXcbDqC+cmKuttDB9kSx0mXriZN51pqJvJ1t4A2xzNgDN75K1EpH2Fp/ydvM2xHavX
eQxW0ISxGk7dEtzWS0HDlZ84SNPMq/DgtnbLaRq0a6Pnh0DlPNK5KeyIohWisbRoT/Y9ztUjsvt7
0nJQRrpVgFext3y4x0U7R0fmS1ZDjXuuqfzdCGMgOFWzBUh5wdpDTUZesCdChsRGSFjMnguaMoJX
7s56VUQh0GMy+ytV162z4+BWUdADNnVTQ07W7sy8S5dofg80bb/ESQiRj3MBzZIfjdQuNU4QbQ1o
+KvuO+Omdus1X9/XOq5A2DnFN5DP6PExZLo81Hk0JbFJp1114c4jgct/G8rwpqX+d0FRC9EspVi5
WffNl1KYalff9JDmydht2OX7uA1AhWmlxWYzmGiwKXgIBmhydJN0LCZaTjDfMU+hrfIpK6Mc10ix
LrpgO9EIQ0PYV1BlPIeV/G4q5nATKfEXoGJvJv11ephlG99PNswRfA/8/k4zITJQN2PvZ8Xe0TTB
VZxj7qIu2MYvRmTDUrTmjJvMC6bsI1GTgncliBCbvWmjBAcVXA7BivLDUXKYmYb7MhS8I5Uqw3uQ
W69JaJrk7JRnter8a+3kR07zxvWPBgHfMGJcXqaoHDuVxVR1KtK0IDRaRyqEf7p4eOyrmluFh3/n
6O9zNMLV38zRHR7M97/qZya/6sccTSiKDTsfAxYG2veJ+Id+9sl611UHjhII409y7I+FhvUbwX+2
DCrWfYZY2bnxY442f5O7D0ADZBng++H3/Af6Gfn/P83R/MYUtQLh4p+sO9Q/Je9QTNQKLRjae4p3
kYDll3ri4CH4Tb1Pn3pTnT6Zmh8tp8I/RvX/s3cezW0sa5r+Kyd6X5ryZtEd0fCgtyKlTQVIQuW9
r18/T9LcI4qQ5p4GF5iIxl2cGyKZALLSfOY1djczlK6a4tN4kVTZ2kKVdlIZKipyOEviAXTsN+Hp
YNGHgLd9TTv8qZWpPUtZa4HbBgfsduppNtJidGXTmyaVkLOV7zgbv6uVfu8UuFDYvkPcI7irjjQu
MDyX8KL0fdBZnEhIME3wYPgKCvN7PmS3rR8gdlpXOC2aJlZP9Trt07vake7wYDz2TescvPRpG/kn
dRZ8rzKE7LHZuig14xFtQnue8MWANAfmUlXpOSvZt2SQB4hHGrKxuEBOi7hbEffdDmpezr26W+g6
oGo1RKdL7wiGIsl+KvwWz5/YPKnq+KZLsca0PWNuRPYVZlVPReVcAHNDD6RAD0f2wnrudt2Znbc0
QNJHt86+uYV6Du32ETkIoNRR6c2bFBeRykouvByhFr+a6KH3PVaRwsljO591KAZyDGaPneKcRhLC
JskAYj6nljAb9ISQt+BoBBZ8Ule0RnT3JPUo2HMjLQaoBXLZHXmOs/JU42oY2x/ItW2tpLzRwHC4
2nifeGMyIyA9I3ydOjKIia6DHq/KYQEytzAvCX5Pfaf/QUkpm1GiBF3pytOmDNG/kdU73TOu9Hpw
QSpGN7qn/mhUs4UjLv7caJoF3fT7BIp1lUGwpYBMsQvTTRKlkGQr/gaDI1qoeYNiqoF3O2rG9G7p
esi0WTAeXchWHk6A6yyL2oexG+UwfXOeGnCxbkrnbtboRFAF/o1mUMGhqPLjwE2KozGJqOFSO5kg
knBlxfBJUwpthV5AfXURVYzIgghOoMSOVQgLlhVnWJ00tUcW8VDxDBM19+ZdOV5nXsm7pjaKE+3C
lZvr0daOgg6gn6WSVVWFC4s3BtDWNtFjnfX3dkozxTLzB1nJSlDH7rTs6Fp3cgCVo0QqWfJXMup+
M8mCIiDL2dKE9q3IQTOtZAlPSL8bJlprb5OwOLH7DKerKsyBrNRr0xsGZCxBpHgJnm4FBqQCJclq
TKi91A8ViSRGiwqs9RHEZAKL/1hPI8IyGqveOlYdX5tFUXen2lHZzkup8oOvTINbn6u1BRPCDAxt
YWI+ld5YTVxnqB3loA2cMq78KdRF64JLMqBxVAT+hVb03rcAyYcqZglNdF93z/IKuQQwxgRNaI1Q
R/ItojC/kCXUpIz+Uo4llAuLALEgi77UBLNtSNK2WRXrBi8eWClBXyMnIWsxcmwDjnFdDKLV7Iul
HGrqfdSR/JwCLUFRKIx9pJpN61H2GkQ9I3Mok3GCWrEj5Od0o5gHgWp5N3JtxdU31W09Fw0JcCN0
6BLT/R4Zga+fyio6DOThfZP/b9nphaxnUO/5w3VZBqzwYcd9yZ+93Zeq+oUzTlZ0OC4QDX72RqHu
ZKraC+sYX8d/FZ2oVKF5ZFlYoHDNItz292XpfOHfZejFXL22DHrvn1yWlD1+uSzhzykOl6Tq8B8+
imC9/cRqk2C9mgUuzBepkuv6aaU2BPBDE8gEZ9rQqc6k72nYixD3EWD591EEjIg6XOsihNSsh6HF
gzgntiyB8xQi2Kxt+qiNbp3JIhClaEsFKkcVksWKWJgIWFURuvq5dyaJYLZt/Rr7huy8GuonSQS8
htM96SIE9mmqNiIozuzguBdhMo7ipxJxcylnxiwTobRfm+2sFuG1NZRP4K7AojXlQxvUC85GfA2J
ySVicx91XJyDvZVl1WfcZzCbRRRvFN03PHpv43qIpyGBvmbU955N5I+ILFA9kQ14AXkBZA9aESJX
UEgaLJE9YM3XTmwSCjbfeaaT6/ujeg1JrZjga3XZq/JRIhtbvU6WWtltKj041lXu31LCGxdOF+cc
v+2sErm8R/B3nfUwo9Dovc8q894J6T0DcNa1x8pxHku1Oi/H4M7I+scI0MYMpvgIo8O8QEcPgLjR
rRIf3dWwlqBcSfhvwkq4rgLtrMmlsxGywzSUiSsGFRNPo7CTdahg2GAowmBXBo5odOhoi0KbIaEY
j7/0ceib3jKUGnNRePGpXzTy3K76W7OSjtQO9RxEMY/srA3pKSXn+aA7U0BV9rrMU3U51KLFFmaz
Ughc5FhELSPLL2ehjIeY2br93GhU/JmJ7KfWoK5Kr/vq2hZk4+bClBuIo2k3hbVXLEuER3tVFTcZ
WAtQEXiVdt4E82IMv+RyjUAa7r6q5C7ZaO60y9pj2ZLPfB4Fv1k+hEjRma1xgXTS2gsRLTHVcImU
621S6ytH6VM8SM3bmmtcTryviMBvKRRLKOLQMTUaUwfy7NBZacb7NCxyVCzQo7XyO6lpqllcdbcS
qc2UP4Xhjpj/XGuj60FShznSydBoFNB/lHGmQZafogdxHunES/XQAzLJupOGnum85+I7tzqo61JY
2rMwC9QXg9MawF2EUNumdpFfkyvEPLWyQtQmCu8aRELj4FarlZgVGFhz9tpM11tuo9qqlym6uQQE
Zb7qFdWdapl8jDTtKSBBaJNhoM1GSbpEPd9HZL6gt6dSIkrBlOEeaWJLpmEA4o3oNWWbqC9Ax2ry
ta4dSQPpnYDSeaj7WdVcG/pwRuEFu5zsK663P2RFhuFi6T/KUf7mVA6Sr/FZjkCxairgRCvJn5uD
30+GpLjym2oT6xhqBsMadv2R3jioesBOApUOAwHDxWlpDz/UqvzuSc1xl9WXcS6d1i1xVJDWM7Ce
p5oDF0UhGp8YaadOQoHebBwfieS6/pFLCUXnvhN2EtYmKMrvZCgybBspwlmcChcKCAjeNQNgEkOy
oVlBrCKVpCtI1aCNzccabU2Yk2ow40A+rqSyh8FCqOeP7VHtaiDtSu/K9PsNsjcoLukYn9RFhee0
R+en0ouVmcB0RIuLjnN/XRsFKi9I5cc9ovnoJdL1TY2STZexJWwT0VukwrLeJcdFLVpv3B7fXe/a
dfXzLHeuHVdfaf1gU1NywBcO8ZWbYwngKcXCq+34vuwqJDY7+LxAGMD5i41thHfIVwB4abtowbEK
OFj1H/o0Q3ZJDxYIGB5xoF8NetauiBSQbVGby5wSDPgjY9ZiHbL00QiatpWGabqZ3eC+e+S7gIyj
Ij6p/PYywAkGkQeSnwDEpZWVdIi9mL9t22sDlenVmDYPMJzIfNBSnKip6qN3WBAjjdIPR6fMVftl
sLQd6RJ5xAdTY28XsWUDpRYi3j1ZforW4pmMIvGkzIp7QjN3WtsDvpkDSsmaimy/b8vCqFRdGnkq
L0IQVwsiugeUeO8A6ehT8AMLJINB2/LIJ1x35bTTNJxMe2i3Du2YqdkG5ppyGhIMOgqcPgUODRt3
Zqm99YfosuNOnNZCNDswKtSqLcOboljIcrMtCs0h/wb0MjjJpbGbRToJowQ3h0p0N/XkrptIkXlr
1MMSwdAnIzMuQi/f9nBFJvDX70UpdtKVEkuvSU8wFyvOLGMELyujQmGlK1lR1nWcl1N9UJt5ZMvZ
PXTUeF2Nxa2msvHjVLuTBv28DuqnrogXjhvectnLx4FZUZG1nXUVeOcAR26cMVppUoW1l9/2onFO
iV/vVi6mEVY6VIA/0MlCCa6dqZb1GPSZNEvKjOphlo+kWfaVQtIxNyj+QirHzCTP0fho48Zdy+Ww
MSUWQ+236gJdOBSKqQvbrnQUeN6mRALAQ+8LEm2+zAqkfVIrv8giYN+ZI3u4vRuPOe5MpE3BN12m
ExQW5oXcmF8z3Vy6uXAn9rQfoUxxXwMmDQGlBGPYp/7CtOgC12YlTH0Hll+ooDoeDFjdjso3Exgy
XMRgDpk8QYKcUxtbNUxSLVAEphRu5FQ9jahMTuvADSl0kVe1SD7rdbkcRrRaG80Ip40crUIILVO0
tLnvauq1hQq8PQvLeG469hN290DPba9cQASUpxkK1LNMHii1j+JUNe9QA1MmnofcSFJIN37Z3dJ7
oDYYOFOc2k6aSqEa1tiIO1cZRi26f12bVjGnibxuvKaaJjIa/mlz4cWdM4X8Rdcml1CSNdlPGvqE
vSfFMxh5a4nISaiuyAhZVQ+5lwgpf7Y9Ki9QdWDWyx0NlmDbQZaScvOHKaM3qNlcAonwSnEibCXh
XWHD89gO5bHDTT4ZLOOxaq0lKisAlz3lyE01nJNHEOu9Gd15CUj8ogc2bdMMD6WEBPJBtin9OQnu
1WjATpQmPMoNkB15E+LWGGQoTJX8zI6+eQi7TID83CjU/iaIK1xZCZh0NcnWutPd9cRcdGtGzGPy
LJ0XteZNocXBoIsKvg7CwrQqSn2OzB0ewzS57EFoChbxlH33A8QrbSiEG+depC3ktrnPW7auXyqX
yF0LjIJ2qpkB3SsjLCdNlF+bAc/IsBSN8LLnnC7TU2gU6aI0sTe260eU31BdDOq7ovc5gxr5doyD
o36Ib1RdSmZdxZFqyQ9tCwnDRo8KEoLVzbK4OcmrcpHKOIIC4gEvkcsIsprh1iE29lu0xfM+3Y5J
eTQ6NAc9QEaqimsfyvK1Fd7mLSyziijPijj6/IKV6TudBWM44EM21lLuyx+mT0hnZT2COcR8bQg0
A+FIUEdr1yUhjNKNa0cPYd2c63pxlAS1MiO7Xrgt7GS6oKuhsK56X5n3BthIt8iuqaavct1ZO+Cr
Cjm8qGFoYT80TAbNR1NPGFq0J8gzrJGCnsaG3KpHVagM08Kz1OgyTkfzfsgC0z4rJFTJLmOjztvZ
IGhoRi4d/W/J9qVkq/0xB21YO0m6q2jL370loVRmFYcgC+1VBb00mR+9FW1V+YsJrgGvTZU09V3R
1v6ik39yearP0AeRor4VbS2oYApSMtRaTW5ImO7/oGhr/uIEJvRcdFmGU6aouIFqz1D4n/NQpTUo
TeDodT4a/hFoeoQyM1rN1HNGKC+L1iAQD934FMNKAhlNX8mNsgzy+twHQJdCInY69TJVJI5r5air
8k3U6N/cCkxyWp/2owKITl+NvllS3MyGqY/lJpIply2tjrmZJBv0as0p3BnaezHVkZFazHEywPyM
IwqVdlKnd5nmHzdNZp+kKB7avpDr5OaajAiflk70YErGQnMVOsTZeV4CUMqd8L5TWswcUhpKBH+U
s9ACiZQuOG/M7MnMMgIJWuDT0beIuttIWRuDfVLX1lpzkxui6y3KkqeV7giFwhv60Rmy5d4yM5tj
06BWlbXmuZFZR3GNIbDjG7eaJM3Q2fre+eaiainmlYDMJ51jX+hOCRYLBYEuOgu7cAGSz2UTwjsN
LTqjSindOYKfn435TDbCE78cYZ/kwzFtf+rPBl4qSTSSRZtOspBC53tPHddomxO9sbOzvLiEn79I
uGbpBJ5bBgqtWg8cBDnGEGEZDTFATUFeIJbuW929o525MBvSG6ftwN/HyUMwNLc5sNBZMsIRU/rw
bGiZuiJqLuXeJS6NzORroa9x/rJrSgzAzgFXtGeebC9cpF4BoeNZPDTttT+Ec/4/gvBoVs7qIv3a
8DFcUPzTKOCSRgd8aQTwx0pbAU42wJfnOYQh/jGhbMezbLDh0eC8GtjZcde5T3pBZTYwzRs9M68k
4ENTxNFPHGxqKAdY/tTPSfzpDF9JSNwakL4R8yH27ovwxnbTR+xEsbpOoLhGT2FafvUcugCmahAY
8qVWuat0UxRFbeojvTel27vQdLjEgYVAcBZEqJU0s9FJVsYYIbnariJVi+dp0w+0qZsteN58ppto
+VJAvs+yZO4gkHriG8x2EZMQ0E5H/6THZkWrcMCTQDZOxp4rEimx/BS6720xRmQSDRG3zBWYBWgQ
w922kdcBuROX2bGMmgy4gAil0uo+MK0TikpXaZsFUytwkqmkjOMySYnwU7cE8zlw58GU/p6nxbXd
8uCNzpsNIEXlxsVBRlJmWmtcObl91WA+3WmgghTXXVt0HSYGi36COeGiH1HiLMHBQHGIqkne0QkI
i5KQZRw2CFtUU7JJQnBmdFJjYVG30kyOAEMNAGsVgTqkQbXE8jWZD9EV6GRsikjlvXEDA2tTt+aN
17c3UQxdurcvIHrRzPZGMgWV+E4LpK8D3Ur42tZcGHv4Q2seod1JN0LU7FE/JiuRhg3PdTjSK2Oe
5fABkOfTZqqkb9W+Oo1l6bSXawiV9pDOobFsQGKuhrzGW9yEZi9bgZB9s6zJUBKEq0V3nVhdhgtR
rSzxVKUzoZFmdS2GUF3DCuTff6gx5frBiF3AnQIrFUtXVGW2VcKS0M0kIPKwbvOyOKtiOPkQdbd5
DjlC6hZVSK4kqbE+pwmDOKoC+kYeyxNXgX2R6jxtZvy4SPnSgFZQsKjTbzq6+guy5RTvXNuhTkfA
Fg/eytXNfpUpw6YwkZpyOBqJrxcFLg0AIfXTsfbPK2EKYyBGNhsC7RoriA6aOVZ9lbyEbXSTj5yV
mXKteAVolNGmQ5FZGw86CmbnwMb1YNYF6AoacnMrmaMyden0zuOQWlNpsKijyv3WmuO3sqaOUOne
yoslTE6UZg6OLZrodXOd20oyKyOeryahfEL9bdpZLsZOCSWhMuaowFjFd8456JZe4SODoFc3g9t9
jdT6rixsxDii5k53RhnUTadQAVD9YzooSA3bvjEdfPoQmVcMk1jR1mUVXqemthxzkMhupHzrIuoY
ThwuDGybprYTCRtDk+aC+rU1L7vqaHTvO6qBvnZJVWlCGe8rYfNtoCU8mrRemmmGlRTVzzxWqpUc
mluFgx7tFueCRJWtTfl1JRlEgpY5BvPYAqoV6FjbOt1JlcfAk9WVhZoj7c9hPg7KdWrgH5PR0kf7
6M6qqXnIRX1U1GcCr14bKHp5KN6i+wVyPHOCpYqD1BTxjztlGJdI2oQnlI4AOEjlqTNY0gJBkWih
1X04GSmRQuolrzZwT+5y78gQ9lsV9kTITmUeBZWh0dQVGJitHST+aZfWEz0nfjesuxAq5BIzBqGn
UIzDmUK1YepXPGcL8a6VZ9c0NlxhuVkdufWImirOnufyCBLGrWp93QJGR67ZtjeNPgDQ6xHc8XMs
17g8wgWt10ViKKdqbqw5jY5Mmr6RrVMtramDSaWOqZOVc0K0BQXFSloRVp/peuWtUl/eaoO8RVDj
gSsHiRe/x5GKZNi2yLJkvjqfEVZSNov6+LEP4Egbnr+km4iSsAtWKfXMe79P2iXsuXDegbuAqglh
C0Vgs5WEirh57AmY/kMtHym6exW51kqSOhUhKhq8ee9OgyZRplEs3zL93OJKvEWq4qiF3rnIoSuU
lbkM7Qp7Rc1KF7ScaeeVsnAEQYhZKbr7tMZcqo+vDX2YmbFxmzgwy4uQatAYrTvdXJQBIifsE2pi
/UKp8xt05h45XC9qWEtTmM7gHs3iCi/TBQecsux0+EuOgjqKD4LbgiCemtDlMFU5B1aDcI7rN9hX
RMO87GvWA3yQmW+OOH+ZuFX3+LfkJm4iQaZuRgwzYGZ0S4sEZ4K99BlB7n1Z5ie9FVvkz9Jcwb8D
+ya45iGFKvWqLNpjdu4KBo4Mq94XuEvk4gKw7wpXbaScBG597MbZHYiVe3SWuCNS665S+9OMDty0
CxzK4xJQfMfwvtIST6cKfNoxOCr18pRC0yLvVGo5gQ1XPueOlszbJm9Pxx63lTR4iHXjqIiot1ba
cNL2drMayoHEsTdPE8XG3i3hIJTQRTcCqn6Gvooy9aSTx+Om1DRk40DEmwjShV2SXGgoZs+o2kkT
qSvVWevDkGlFRxP7bMrzSTpM8wraL1yyVQUYc1bK4YPVEcPYfXNh5chxOGWbLT2nqk6SAmHAQusw
CbBsDiUXLqErLZ1nGo36TKkBUg+9xqylI1Mwbkw/WzvPJJz4mZAzPpNz/jcde0nHyIJ+3xL8hkTX
jn4gf/OWiqFhRrpDU09BMQM1jZ9TMVqFKhqcMnQyJIfVd/wzB+g6XhtCZQPZy3fGGho1JXjENpU8
FRzNP0nFgJr/2hIECGuS95nIG6uomfEhfk7F6rIL01gN+/O8BgmT4yljueVNreLpFgq7mVFJs5sA
qhmN9CS5roQtjSQriMuPrjJVUHTxIALXk0LXzqA+y3Na9j2O7yHaP2Y7rYXtjV+0D07TYVkzQNin
ltxfOFz/U1j21tRp3OxGx0OnlGl917jqtEjQnicedoSdsNxBez5dNoaqzT289WaVotyiVhGvYgTm
lyHG7ZC81houPl6BnU8vjH0gmwXnsTD7AY7yXcIdbeXgA5QKQ6BCWAP5wiSIGwZhriilqcAUnAeK
7eJEUzsrlOaFQLpqTuqEWLzLLWcWexrFkXTEaceDLo2QINdaCOa+SU4a0OKRg6cGJqO47jQIElNF
NHwELRp9HlmePFe99igqpWNQlbhCKqdZRhYj1xlUZBCY0F7870ar405AsR+tkzuviO5KI6W74HuQ
gr3gutbhAyM3TxE8RfzJ9HBrGttiJZnJVvMoTvWpeWQieQk6klAegWLc6SC8LHy3k9FEHL/xoEN4
0Pl1Jrlnejw8ILWx0lyguHquPblDdSFVaXsS2URoZY2/VNHZZ9roADJ0xzMj45HWeT+DkAXkWXuA
vAYNLHqU3JxEwvePorg/NzsaxQAkqcl6CDRyw62RjTXA9PXVrPOcc5oM9VRNhM48Nhh9ghiVpdGY
VfxvuTde4hR7DIzZn0j9KCEzCueK9UEbzy4i+5xLOtQekKsxhrUFLmhuYU6MSt0I7lcpvVls0Mvx
LWMrYXwRNDb9HGlAwx9ha9cJDaC98VGLrN7EMii6qYlyolnk7nHL9e7KCpJKhh0sByOCzg67DM0q
LiLDaGH4lPRovAhRNkJ/ZK2HeZCgspaFzgKMGFieaGSSg8pdS0NVcP7jHtGxwacyK1Xz8qs4TRHO
C/R1bztkOFEi36S+W01gZa2ULO0JdUPq9I5Jr9elZqvLKS15dzvQLg1o+q4jw7gpaxdof1pP0cOd
oqVzRjYSc7kb2Ex0jYx4lbmW7FI/J+aDL2GX9RS7KBMhfv26jRDDcGvjBNoTRCe0sqayZByVcRMc
KUN2XOixsi4yYnGvduBq31eKey513qIbrX4BUmxZF2UAkT4pl9VA357e/swu4gc/NhZ2lrPV2Sa5
4JyrSfI9h4TeCzZ6JFn2DJF+5dzv4Kq7grVOfO8dkYfgVmW7Z21ByTh0zLk6YNgYY/0GSghsuZv3
l4NC9wLxXCBgw2jjHgJjnliWu7LK9OXgufDpBbM+L9JjT3DtB8G6rwT/vggVaakLTn5W5JemBEh3
hK6P9uo9zULtQg0JOTj9orUU0M32oflLYOI8wfs3EQAorND7USEJ4Phs40sLmYDxWTAgdYR4wP8v
9+f/eXE5mG3qzfxZgvqy2ZbD1baiZ1i9VfnETy8yGq032f/sl/480F8v4tc3Q779z//YPCVBOguq
ugwe658vV0QjYE+/u4yfP9PzB/7TEPGGVljzxNia9YV7FSkexZGfXyBk4iz1Xn8sKVROqZuqYHEU
JGV5/fwY/zQLf/6CL9P559/5/TcQcNx36uD62wf7+9n9OzPBOO+mAr450FxEvp5fxBjvpgIkk0qR
2BLkdyb9p3Xyu5Xw5+/3yXMgisj/g9Xwfg4cBGYdSitorzy/xE9/Xg7MAc1+giP9JQw8vEnQf2VK
/vOFoBOGysCx2RQvr18mQewJB30hWtFvPz/I9aC8LNR99gQCwbJqqETjv5kKm8aKYwLrexGnOLz1
IO+/HmweNxYkivE6CXzVd5uC9WDxQl/+ZQMe3iQo+58M5hdNFT0ynUvn+fVxEtAUcRRVMHsPcjsI
9Oc/vizfH4+2MIUEACcgqe+WAF1EJkd1NPnlHn15q8NbCNrLw9nnSID/Ar5HVzkjn18k8O+nApFy
h3XiOC93yKFOhbr/wWChl4MKmegoP792BE+OCaseXbG3PXOYO2P/i8L5Anlf0ynNvHzTX89IUfYh
0FQ4Hw71eGAh7308gDJQwQUAURevD9ETWANbxFf6i67e4Z0P8q/VvX8ePSHQR2HPQdLvNytBFYJR
uOoqhxoyvD6dfQ5Jm7QK/SqEMV5Wwq8ng4ijheOafLAr4TXA32MSdOWLpQm4zVtCRe74/qZQQdHg
ZQHy5VDPhJd9uuckUK62VLEnxOtDVqmTcukaWeXLIXx4Z4Jgv+55MBI84tzHLfn7KgOGoLB6RDvg
IK9IwdjdcxI0BHM4E/BTfFkJv16Rwm7RIICELHWgkyDvHz3aXyxYYDQnXuZA1JPenwkE0oLATM//
+eQ82KnYfz3ACQd3aNADeZ2LX6ZCpJU2ChXsigNdDx9k+P95tAAwU1eYA5Tzn18fQibiRsAAwsDo
UCfhM0Im4Ke6Q/T8yxIgauYHFvLJB7sP/icVaPGQ/y5BkzoI40Us13799kSKaC1Y2usNdHhXo3DA
2u9WQGEN5QdF1z9+e/0Ljx05CfU1cjjQ9a+8LM09YiRN5cxXbQP5i5dDgK3+7lJQjC+EiZwS1F7E
61A3g+AP77ccNKJBBHA1VM9/EyRQoUdPXTaFMO5BRkrKy0G9z3owvmgoClJLeHnc4nm/Xw/Oc46J
Yd2h1hpfr+x9JoHvyIagcvSaQn64GVU8ZwzF5HY80JWAlM2+28EicdBx8kVU5/n1a8zMBSnSBh3M
9YFOwms5fJ+VoH/BkkvV7LfS+6+ToFBtALFEnPASRB3q8ajsn02jR0obBpzXy0UhiDzvTgbB5uHH
Qsb8QNeDtn+4yHWJXpTBlfnLtyeDVJB3BSP32qQ50DlQ978nRYFNaGa9ngsfyiokT6gi2KQVh4lY
MCiS7n06ml8oNxMdW6/d+l/vSXYDtTV6FMKJ9TCDhf3TB/pRFqZsBpZtu68IDOE1INSW8zLhh5dF
vLZE9rkiRBrNt0cz5+Vg/LASNKqMaB1ga3egK+G1/LnPJBAsyCYSQ2+Hwq/HI9tBR8KCaxK2Ja9D
vSfVvSNoSu+686wB+IpQ+ZBay19o4dKse43WD3BT7H9Pml/wOREtmNfa0odgQYH6a1JZOlhElxBw
3y+hpL5A1mwSQP6myihQbUCZaM2+xFSHuin0/W8KDklNVenPvk7Fh/OB9SDadrpzqBmVtn8rBms1
lPwJCl4hCdwH7yNocXSI/5GAH/Qh+XKR7XNfECIigEGx5TV82nE+oD9Gbnmw60EUDfc7HzQCaVyb
dDbF8+P+mFFxPpBQyfRxDzVy2P9ksL+QKYiu02t/ctdKEOq8CAW+vA50KrS97wsNhUXUF2nQvR6S
H84H+QvpNfLCr4ns4UUOwqRkz02hofEsG5DAXvbExwIkoSYgH7COh5pYaXvHkBrYX4PrkATzX4v+
w00hQ1cjdjjU7bB/im1w+iHPx5J/WQofEisKTqwScG0HuxL2L7bQiaInQVnptRT96/FI3QnhGpkj
9FAXwv73pEWfTgjOUlN6uwLe7wZBXpWBOwlHw4Ostbx+sH0ipmfAKzy6tyPhw+VAsKBSjke58EAn
Qd8/gqbqZpEwyUL5Sbw+pBFg+yg9AnY61HNR3/tyIK2E7UCtWfsdbkPFZpRTg8PzUFfC/uciyAVT
1mjQv6RKH2Nn+Qs/hEokFL54Heqm+CDz/Y9xPALGQDeWMuzrpthxMogkAsrUoU6C0BTYM2wUgnHP
Jri/Kzg9d25MnYr8oW6K/SMmpPF0DG4N83d9awUKoehXotRwmBflKwh1v4sSPXm0/KjCvu3899GC
cGFWFQVNrH9/Ev6NVOtfBOWpH8RPz9RkHNV2MZh/9wtvnNWPP/+Jc/vMPH73m4Kq/PLmf1OX/+sd
c1l9Zsz+9NM3Bu3zO73+/etX/Pjm797s7Xu9/eMq2Jab8tEfnn8wvH7Qs00Cw/m/Y/7ztNnNGP77
0/xCs/45Svjz6Gj6b38dXJz2b/+2g8P9bw+ebJ6y8m2g9dN//gc1GnSLxT2y9yef4Da864Pz4fYe
e7qJNy2PpHob66fPznrff3w0P6sPj5SJ4Vj9hMHTutz8Nc2qetdb0JbY+y1m2/ivs6zcOf+ES3uP
P4//mmUli+dtrJ/mn1tu7/EXJS6NuwbnRN978GW8TdO3cX764KRVe4+9apKHLH6q34b6e3iB5Nx7
+HWSb8tgE78N9dPwn7Fl10jA7xj6M3bs8bbcMeeiObj3pBwHqbfjIBCU5L3HPtlEO84wAb77hKGr
artrTj5jg55k1V//nXrbeLtrZj5ji55unjiA3+bhp4X4GVv0dIPzz46xP2OLirGRdtzx0QVhd+/H
erpNn7LHYNfpJWAYnzB++bh9ehvo73kX8Ib9B8/47G/j/DT2Z2zT02znnHzGLmXoeltuhx2f/DN2
6tkm37VaPmOfnm3bzcfY0cAl/e277BHenZcbjoC3gX56nJ+xRS/izeN2R+woytR7r8ML1Ch3BXei
/bT34FcBoWMVPO2YGdHZ2Xv8681jSUqQ1jvuUtFf/4Q3SP+abHFG2/UGn7FVrzfiDcp0Uz7tPMi0
z9i04k1mwdbb9SU+Y9eK8RfsgMegetz1Hp+xfcV7HGWbotl1WwkpjE951idNUP11/hBU+a7v8Rmb
WXyP00293TX+Z+xnxq83f0025cNmV8wgJJU+Y6Z4jykGuzsOa9Eu+Kx3KJvxbbC/z1RR9t//DfzN
zpxQlNP3H5waxs6p+ZTNHFQRLn3N2+f8aWI+ZS9n8WZX9CAaw/tPDIFJsmvNfMr+rTeIUMabpnr7
pD9NzadsXVFm2XEPCzjb3lNzs/U3u6ZGwAb3H/yP7p7P8nt7BD83f7La3n/wP5rC7Dv8V+a22bVX
Bf9v73n/g4Tyvh/8W/OwYyMJFvf/41PvKsv+SwHxY7H2Tdlw15+9r0WL33iMt5vyv/4vAAAA//8=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solidFill>
              <a:schemeClr val="bg2">
                <a:lumMod val="75000"/>
              </a:schemeClr>
            </a:solidFill>
          </cx:spPr>
        </cx:plotSurface>
        <cx:series layoutId="regionMap" uniqueId="{D4A6933A-BB58-4A54-B9AD-C993047C2D51}">
          <cx:tx>
            <cx:txData>
              <cx:f>_xlchart.v5.2</cx:f>
              <cx:v>Sum of Amount</cx:v>
            </cx:txData>
          </cx:tx>
          <cx:dataId val="0"/>
          <cx:layoutPr>
            <cx:geography cultureLanguage="en-US" cultureRegion="AE" attribution="Powered by Bing">
              <cx:geoCache provider="{E9337A44-BEBE-4D9F-B70C-5C5E7DAFC167}">
                <cx:binary>7H1Zc9w4su5fcfj5Uo2NBDAxPRFDsqq0y5a8vzDKUpkA93379ScpyR4Vq+ShblgPp+5Vd3SHXZVQ
kh+QmfgygfznbfeP22izLt50cZSU/7jt/n6rqir7x19/lbdqE6/Lo1jfFmmZ/qiObtP4r/THD327
+euuWLc68f8iCLO/btW6qDbd23/9E0bzN+l5eruudJq8rzdFf70p66gqf/PZ3o/erO9inbi6rAp9
W+G/3zrrSP9Ii0Sv325/Rv5+++94fZcWb5y0Tqr+7ZtNUumq/9Bnm7/fbg1D3r75a/rbdjR7E4Hy
VX0HwlQcUcYtRAR7+yZKE//x7w1M0BHnhEiKJBp/8M/fermOQXC+QvfqrO/uik1ZwnPd/39Hfush
4FX8+7++gtvxVYwv3wcc/n77MdHV5u7NTbWuNuXbN7pM799V0Tvp+Jwfb+5fzF/b8P3rn5O/gFc1
+ZsnCE/f63/7aBvE/wZwlOlk8yoAW5KaFjaZvP8RE5yxBJw5N00OM+BhXj0iPFujZxDelp+D8LbE
wSEMC+du/QoQ8yOBmCDCog8Q8wnEhBwRTmCZg3XYRni2Rs9BvD3ALIy3RQ4MZLuuqtdYxfLIxIQy
9NwqJvjINJmFMZnY6dkK7Ud4W3wGvtsCB4YueOh1synW5SssYnGEpUUw4fze3SJYq1N/bAkkYRJY
26v4RUrtR3l3iBlI7wodGNoQSyS6jNb1a8DNjyyGODhm+gzc+Aghwijl4LCfGu2XabUf7z1jzAB8
j9SBIe6kUV2+hoeWR2RcuhCFPYM2AbQFtSQzt9Ger9F+pCfyM1CeSBwYwjfr2wICkKRKX8WEmxyC
bQZm+v5nJw7DR0yO/4AjH38mrvpluu3He88YMzDfI3VguLub6M1lCnv4Pw87w0fcZLBXxuIZ2Bms
fkYh/J7E3y9Saj/eu0PMgHtX6MDQvlknb85rXb65+q7L7DWWunlEBLGwhLX+cynvRGsWrHBM5LZB
/79QbT/yzw00A//nRA9sFjgpEERrWPBlNf63/uPMGRpXPERoD8t+SqzArhuDLzA5nkRwL9VrP/57
R5kB/l65A0P+Yl3oLH2VSI4fMcEINwXZv/CBTpMW44LwxyBge/m/RLP9uO+MMAPzHZkDw3sRvXHT
AhjyV1nmnEjLJI/cmgR7PrX0YAAwLHSw9/AzCepepNp+xHeHmAH5rtCBYX6+LstN8ucBZ+iIAVku
5OMCR3QXcAs+ZsKC+P7pzny+RvtxnsjPAHkicWAILyFjlLzGkraOOMWWaWL84LmnS3pMiQgT/sGT
3fh8jfYjPJGfgfBE4sAQfhfVkH/982uYghOmFgej/Yjwzk4cHcECliZkxrbX8HyN9iM8kZ+B8ETi
wBAeI49XMNKUH0nOTG6iR7e8J/g2KQYTLSfB92yF9uO7LT4D3m2BA0N3FW2S10AXsl0EmVgSSHVs
B1uwp5ICA28+oVJma7If1m3xGbBuCxwYrCdxtin0OnoFw0yOuCTCZBQ/bJ+mwRU2j0zwzCaGmpQ9
0fRLNNuP9M4IM8DekTkwvI/r+Hsa3VV/Hm8IprmwMGO7K5kdYQtTBGULD0HYth9+iUr7gd4ZYQbQ
OzIHBvRJ0r9OPC0QAYvNH0uMduLpMbctLUuIiTOeq89+hLekZ6C79f0DQ3akdC+g9O014L2nvDiH
WPmZ/AaUFxGBIbE14T5epNR+jHeHmAH0rtCBoX2xvoMqlD9vrqkF5CWB4AoC65/udzv+QkfIAlKb
4UlaY75G+3GeyM8AeSJxYAifbYrXCKzNI8rvq8geoquRrNzCF5iPMamBKZlwW3P12Y/ulvQMbLe+
f2DI3ugy1H1a//nVOyaiKYbMxM860KkfhoyUBRVHJizh7WjrJTrtR3hnhBko78gcGNJncHzgNcgt
6wiWJ9Tzskd/PIUZFrEFn0Ep6HQRz1VoP8bbzzMD4G2BA0N3DDJO03Vevxa/BewWI+wxCzHdJ0O9
L5EwBaR88NR7Iq8XKLcf731POAP1fWIHhv1F+ip5CXFE4BiGsB53xHLKWsPChkBbSEgtb9vvufrs
x3lLegbAW98/MGTP1+ErlIhBPgIKwDDg9ly1LzmS2MSW4JPi7rn67Ed2S3oGslvfPzBkb9T6VeqA
gOKCo1MWFfS5wn1yRAVGAuKy7VU7X6P96E7kZ+A7kTg0hMEju3rjvwYHArw1BocM3PV0x8SBxwR8
xU92ZILxS3R6BuadIeYgvSN0YGCfp+Wbfyf+Jtq8RojNjpBJCBU/Q+wd1MFVw9kMxsGm70lTvFC5
/bjvG2QG8vvEDgx7CECqTbHp//wWGggwi1ucU/RozPfE3ZZpgbmfnqV8iU778d4ZYQbYOzKHhvQm
uUtv9atE2/IIKGspOX9MRU65MEKhbJ9blI5x+NM6r4uXKPUM1jtDzAF7R+jg0C5u4Qy/88dLtfkR
RZa0fu2spuYc7jpgAkuw5nsP5lxs5ur1HNpb8rOg3pI4MJxHhsAGgntd3L3O0obcMpymg5jscbs1
teKYA3vCkOSTffTLFdsP+DPjzAD+GckDmwCXm2b9KjchAEFiES4oesxfTYEH2gzBoR04RT/Zi83X
aD/iE/kZSE8kDgzhixT89p+35JDiYBJB3Sa2HnLROwVisBtnBPDFAP2W056r0H58t59nBrzbAgeG
7tf6+2tkn8eIDEPtFxCc9z87VyDAJRfAkAkIv7fBnavPfmy3pGdAu/X9A0P2cp29BrKwXZaQsYKU
1AOyO3YZSkjgSAWC5OU2snP12Y/slvQMZLe+f2DI3ow307zGDWKwaikhcHPJY639TnCNjyxiQg3g
1OfO12g/uhP5GfhOJA4M4atiDYTYn3e6lELRLhxwE9ZzV4jBBVQm3BNnTQ+/zddoP8IT+RkITyQO
DOFPENHUr1L4BVcUCNgyoecOM4+pRwlF2xaC5f00rnqBSvsxng4wA+SpyIGh/C5a376KpRZHkDse
V/LDjY67Jxthd8TH0nzyEFxPdsfz9dqP9ER+BtATiQPD+QMcjYJbPP+8wR6r7qFECPJVj7ukaSEB
FIKNwRaGC4m2V/MLVNqP8XSAGSBPRQ4M5WsNN8aV+u51HLMUyKT0sZpzt5wTiE+4Tw4KwSZL+UVK
7Ud6d4gZWO8KHRjaD/wdLOvXSEJbEGZBJA0F2r/s81b1LrBbDBEE520m7NbLtNqP954xZgC+R+oA
EV9C5H2ry9v0pzX9Ezczczg6hRCHQzPPoE2OoDoQ6n3pZHGP7/yXRnO8y/OA7w4zE/NdwcODHW4V
stfF9/UrBeQA7nh++fk7CiwpKAMf/jA9fk69h8ubYQ68TL1n58CeYebNgT2CBzkHnOh1ZgD4bigw
gYrBx/W/h1cB24AhmTG5w+AB+9lq/Q757UFm474tdmioQ/Fv/DokKaPSAp70udqT+yI0i8Hxq8li
n63RM1hvy8+BeVvi0BC+N55OUQ9zvOcLGy7AETvOMEM/M1g7yxqugoUibwR02gTlF2n1DNK7Y8xB
e1fq0BDXm+JV3DjcZGEhCofcHwpLdikXdAQfgqMX+89xzNbrGby35edgvS1xaDin0fpVisnGoxtA
rI2Vg/c/O8VksKqZBJB3tmazNXoG4W35OQhvSxwYwh82av0a3hk4NbiTxIKy4GcC8rHJBoTj0IPh
4cjWlFmbrdd+nCfPNQPnicSh4VxD2P0anBqcrqRoxPCRJJ+u5PtMyBh4m5MihA+zNXoG4W35OQhv
SxwcwnAbf/wqPZHg9jABBYCQkn7GWiM4skMwFmQH4/k6PYfyZIRZOE9kDgzpr2n0GnSpgFp+uJIG
Eh2TMzvAk8IHHMMFRNsh9lxF9kO7JT0D1q3v/y+A9Pcqbj3w2Ozs3z/f7R4y9KVd6qBeF7obWUCG
7V+w45F3DBtnqB/bx4ZBq5pfnfUektf7dNqP6lPZrWd8eMTfv5TXaUP3fIu6X63+3HW1Xtw3CXzS
pe73n94/PvQ2nIg+Zvv3vLBfpVond3+/hcIuCrcxQqbxV//BcaCtWoGRmH48lf5zbmyLbuCI5t9v
73sPSgznMiwLNk6QvIJR283jR2MNoGVy6J0D+2hrPAmdQF8H9dDKEJQgEIJDBtukEhZ3mdb3H41X
GOHHweCQrfmrkeO7NOr9NPn1Zh7//Cap43epTqoSxuXgBLKH743qmlClNhYRW3CRBoNzBXBmAD6/
XV+PtyvAi/g/QNvHXcf64qo3GgtnNqlxruwkEcGJVavkSjPrQiuuLi2zWHmDZb7P+1Dag4+uqceu
w6LepCjL7a5TJ0HTnCmOlw2tz0NCHKMZTqMEn4sEuwPhldOw7nuf0XMU9ZFN6/iSMLH0fH5eKmOZ
9sZ7K1AfeZ98NrvKEV6+EUzYBRZ21CcnYZ26yjB821L0xBTqU9G3jsHQ+z6MLuteu41Elx1vKlta
3bklhpVZYKfV/kcz17YBT7SIiva71NWFJ8NlVdBv1I9WTVWdJp61rKg8a1h+6Sl1KdNuKQfm+Cq7
rElg0zS/KDryGa7xPFYYX8q+t40wvQpwcJkaeNHU0s3LwVWo+Sp1+U6p+sJve6dJxYq19YJG1mVB
skUof5SFJIs4aGtH1fXpIMXaa7mtLfY5CJoTo5RuY5bXyh9WRhC4cTbYVlbc9GVf2l6nr3yTH4e8
dXFgfTTL+Hjoy+tYVN8T0l0aIrlUXn7eWPGxOdSncdEf13lpcz/7wYPsErJxi8GTJ9Rn11zxzBZG
dlzxJLFZ1F6ENTds3OdnuReuacquZWY5Snu9HdX8qjaqc5/E7uA3J8WQOCU3rgPZnWDkfWJx/9GX
dGElGtu50gsv7JitPJQ7PM4vtIjapdXm3fuorz031daaN7JYZXm3EplZO36XfSYkU3bcdt8TqAPw
7aLwUb4oe9kOC68URXAcyESdVGlRBFdsGDptB8xK6KqBFqRLiVtAvytPTCNFqzSvI9sQ2XWYVtlp
YhWNU+ahtnGE6UVnDo3b9Diwo06ntkx84np0CK6hJnAVElTaZuUfBwkuXThkIxbwSIOTkGFwcFJz
O8h4vqgECpyat+zYaxLTLa3+RrM+dyupOtujVrgc6ipz0iwnduuXH0VRoUVo1b0dROS9Fn3mDsGP
1vSULQ3ywSDebSqoK3p2NRBzyYrwMi/D1g3bxmGRt9EDuxBB9dloQe6iqKtmAd+tnTyrQ5ta/kLH
6XuSxp/autJu1pSV7UETTWdQLHSDjH33/SqxUZH0dlbmtVsyeamLxrd5F9xJo+7shtWx0zQqd0Mi
Nn4mvyU9+Wia1gb0V3aVotLpexq5NOt9W8U0c80kUHYWetpuMnycRYVLhb5qVHwq4vYT6/ofNUen
gRSnLFV62Rn1Qvvqkx7IQsZRftl7bb6Mm0iBxTGsizTybpJM+bYvw3JBVEPdmtHAbnHypQ0GeMt5
fGekIrVR1xYuV36yDMLuxDOiVYCkduTQfB1SldtR1V1pxL+rpvvesaawiy6GecutY2o1JkhGx74o
DJvkZCmyaHBySlZeSr5UueY2mCknL80T7delXVv6S+9TGNxgt9rLY9eSgS3r6rtRF25JrN7pPOTm
ifeZ+nnj9LKEAWrksNB3aG0Qh1VFbQ9F9kG1NHZR0PeLzgLcO8/7QiNU217mcZhfdJmHRm5L2cIS
1SE0gk1hWRatKEE9+iNGpFs1ni/t2ixsHerWbuP8ROvBAt2a00yUV12sC7sfalvE9KRV6FJVzacE
odOqFYMdGVLa2ugDu0bdeajQTetXZ2aiPuCeI7sJLDcpgsYWrKWu1RnnuhbYTvrwY6GYaes4427E
s6i+USpMlkVb+soxUo/ZTV4hxwgadcIqvVRRw+wECWOFhr6x+yTTdlLG6bKryWkZ9u+zuExsjrvo
vU4b7TztdLvl327TrC9gxjz2Kv71x399SGP497717X/+cmx1/J8/rTbpmFksp18aY5Ff3/pP+9zR
9//qpTuJKB76JT8Tbvz2w5fFIhD2/z4Wub8sYE8kMubTHiMRbB2h8fKG8T5iyMVjiHl+RiJwiMyU
ppBUmBJar443A/yMROgRBAkILmkam4BAjAL5mp+RCDkyKZwclxJBkxATm9ZLQhHoJzMJReA2Nwrn
1KEJDWxm4TD6+PmTUEQHgSpVVNELuAs7Vo4Z5pVfObVlhqexjtuMOLgZeNHYDGWkc1XSDzd16rm+
SvxzWgd8HarEoVXugPP4FvAI43ctLjPfDpoeQpSySeRVnFbDqU/rSJ/kVU8+QAxmmCe4RGASpDSq
q9ij3mnYW6hakDAM8I3mMmJngz9E5S34C6u9KGhWmDCTIXiwkmjjNbl200TXkVMzUQcrFAi8lLnQ
zXWV99UJi0hp2MOgQvBmqK+/DYyD6ea5Qmeklt5ZkeeBdJKkVQvVydwp8qJa1KjXZ2bVs3PPG7La
DqQnob9joqTNcq8dVhBSDk6YqPqdIua675NvPPRvA4vFC9hKxk5mmZusijeWTHFlN3HO7tpKOwIl
Dsn99iQZkLmsQqP+1lq+ZTcEae20YY0dIdvAhrbb4jM2dObKsPVuO201xyVNyIkyPHVuhCQ+DnHB
L3ledydDluUrZjapUzRDZcdh0jmmAJ/eQWbKlo13AeBmrlUJp2xLzxVVfCZqmTqmV/CL3jSHk5CB
M9BERjaTasV1HtuFT8DD9SKAvkg1mI0kdDMhISpUxko0w3GE5RUNtLUCb1LZRhmHtu8VzC5Z94Up
5oELHRqbW+YqxbKDdq+dU6mivQwpxJdIqc6Rkdm5BVQfLgIjI1fID8MbozXpdWJZySZArDiNc518
DhpWOFrnd0nfBGf/32rd76AQbCaet1r/vu+QvWuyRqlfJgtyTgx6TUJTdzgJScaU00+TBeecEYc7
pqBVMOyTgcn+j8kS0DEBfqCa0ARy0+Jg6H6aLGgRT2DTBLefgNkChhu/yGSZYBcnuydC4BJwagGF
ygjsyrZNll/wNgioiK4MnH+FfvStPdTRd9ybJxGOEzuABVoW9YKbsY0avhyofy77/LIVsW97owuP
x2le+4ZT8JosfRMtUUpvWt2QheBp7TR+f44qz7WMNLM1rj5pQTInwtG5MvPIaYziOArLdWx1vl1j
ducRXTqZEfuOb3ZnnWjuYD3njghR7yIKMXrfmBDlJ8MC1UbkFjFMfyLqyuG1rB3WI8up0qRfJmn/
jsCydIkfndWdSe3er77AsuncMunvUmSdwtG3zM27JLP9pgzt2Ke2qSD+SLh8N0j8ufEGsLxCh7ZS
RmtHvII/WoF2Bj8jdhz7ns092IxUy56nnp3npbZJ230alH8Bu5KzzMvOFDyTnfYQ2cSEXLc6dBvf
jxdhQi48TD54fVQtG2BebWhl2dhVCZu/LDSEzRg9jmmvHU9kn4VZGI6Fer/2HRNstX9TkSD7hvL2
Uz+w9qyC6CmjVbmKcBvZQV5862CXo5NwFWetZbPaTG3W9qldU4/AvkZcKJ98onlJ7Vq3VwZcsbEI
w3pwiTn4i0FqYfuFNFZGWl9TQ92ZkZeuWggJcR2GZ6m1rrp1Jvsly6x12dN0VRdoBc1c/UWRtXH6
SWKV3EQoysKN9oe7tlPXAwV3xOss5XZYKCHWBew8PZjfJ6hK0HFXkfSKFJ68YrFXnvbSc5isF0kL
UW9VQNCHFNKOYrK/pMHAta3TuF1FJv/cJq3LdawuaJdu8qEhxyj1ZW4XllCD/f+inXtqsEwoXv2d
iXvKtz1wdfeky73ULxMHB/zHy3kQtNQ0oVEPDPjLxDGogYVcOnRXFsAXjldSP0ZlDFKweLxdDz0Y
v/Ey8p8mbozKYEBgbgTc4wUX4L7IxMHv2LZwEpKAcJmbBVQUhTscIZ58GpRVA4V9bF13l0lL5aJp
PZXZKQ146AAN0by3DLM/DbomCRcIhdXXKmXNx5CVHYRbMsk/P3l7j+H9U7pqvPRzqg1cdTAGowyx
sWnltjYs6bNQqrq5JHmCL/1wSDy75qmlnK6pUmk3Lau/8iYztF0ALZI7eVCEYGqHkjOIanhyJ6sK
XcEYqnZJFOGPg2kIvOot09vg3sDd8vcak2lQa0IHPbiGB1pwSSD6oNPeRGPNFWDbV5e0M30ftlZD
9LGB7DpdVrxPTbvpOxy4mnvChj1qr+0+RHQVN0WP3aJJqzvVlSV2tJHBHriCPZNdxUAz2bwwQ3/h
p4F6F9byNC6lKl0oxpKfSpWfhVFrdgtdws5aF6qJV79/ql0Y4GgNAscHfWDhxrD7h34SqfPe8Fsj
i8rLpPLkp9SHvYbNQgJTI0vq7l3bFfIm83D05fe/dpxrT7lKuNMEGlACWUpgLsJ/RrWe/FoTdT7L
Sj+5TMSAL3Go6sukhLBMeOrT73/T1K+Pv0lC+TmHzmjgx8RknmUJ64e8UOmlyBBb521aRCuvEj2x
w0wtEDBMg0NRL1InoGYb/7dJM06K7QeFiQJdCBgFZhasw+TXQ2WGBoIj1hBbh+Y6DmpzHUajDuYQ
lwurSFO7RwD9qo3ylth5mPJNFcnypJWwXegsWiCHtkEaOgFP4o+0yAh1lej7TWY0mYuMIeaOKVNW
HJvUAp/9+7c3thab6s9HswH1vAS6CTOwaU+BQlZtJqbpGRe49uK1LqrSt7ERVgmDaL5P/NNW6fC7
L2R23g25Wlop67RDcMN/VHwYUqdXPndYGjQbXVB+15iZ4qe/V5LtBG8P+03ocj22PITVOVLjT6aT
VQiNCgX7zYDlmSfFSOANKwhxqFxWTV07RZej903cmzWEMIo7BU5WJSmyVcRgMxpGeXydRWbc2Txq
/c9tEKcnfVlBCGLm2UerDIXrATfk1GkQgMutaNDaXlAml21mlFe5MdCF72NglIzBS2KHAHl2bFpV
dE0C/53fJ7Qbqdf8svLyDxWJDSBmGgIvUvcEbAOrh8FGrQjOI2WKrx6q2amCOPV88LtGOi1SLIb+
6L0+MUTRx3bbi8HFrWkAidjdAhFY3dTI4AqYpIovPSAGT5hHyIdc4TZcedzA2oYdq/cdqnphz62T
3PhWxzx2s6wkJ2GaZCc4l9GdbjIL1j2NwxstvY4DIcT808IraqeH97DCjMirvI27BWuLfIlxh5sF
hB7Yd5rWF7nTEOUt4pIWbp3JK+UZPnIxTqtjcDWkdRIUWLaoePSli5E6I4XMbkxamataBgZZllY8
rIWVFosSdcGwbELhL42uQ2tSRu2P0s8y0xlIBVwbcL2Nv+yqIIXF0baL3m9qsSxST7nAOsTHCXwV
cgesSOFFxw2wvWUQGA4fCXqemt1gsyrygGAwknhVWOHCZ3WP3rcUM1eXBYLYEWZStaRVK8tVRzlk
IcJhiLz3dZtXcWz3GvIYxZ3yFCHD17I1Oh4DB1yAKU9vSR8HFS1gk1rXGbqswioOu1Op82HVAOXo
ncSF1pkdkCi9QdygJ0FPae3UgIFn9zmC/e2gYiHcxPPAH1ZR2OYLK2x95BRRhb0rlUP+Jz0Oe94q
t+8iWZ1bZUVhRrVeisvWqcEXLi1DBd5VA1SN5Tu5yARMOBqW8TKJdCHtKAfn5S26RluO4UGO07R7
DyUMNuheHDtK1q23bCMexYsS2PFwaSZ+PDhiMMFiJiQE2jpWhRHZTdn75btSG3G8SH0tfhh1wzVy
UUqqlQYaRVyahud7pwnlFTcDJ+nKfOiPS7gQvlCLzFc8htRAM+RLWZSQBOgjK+6PUVnGmWOSPtIO
78w+WhU614YDsJLPRhYP2IUjaCEwuWGMjKsoQAbwvFUCO/w4lvEJLWQVLUJVWddA4lO6DIyU4DPV
qpIDAaGIqlZe0WTJDThjehr4AwmXdQYaLNIq8oeFwN0gHRH0WXsRix6mtgFLpXA9jOvTgppm5Poe
9WuXJw3AqXkJ8UkyBHTYRCGUVLsCFIhd2scqh+yKZse+5qHlABeVU1en2nOH2gtN22iLTL4LvDZg
DtV5MNhxFgzGGfIitsSZ55ugLmzRFrhXQ3qiNG59SEAx1drj92wstUxg+vg0d7pWG4Ndddr4BlkC
SMTZGtYRucRDogdti4YZ9EMftaS+tGDnkrqJzKsLs07AJfklD0FAxrAjX3pa4eTrgKNEneZ9HHXL
sjUHfYaByfvAAqCpzM6LPVtgmLzLOuk4XZTWoEH5GgexG9E8LB3ReguNdf41aluILAI/aG5K02q/
Z4Wixw1vfW8hQiAt7UR4MI4ZpUG3TIoGXw5dRtn7sjLxB1wZ8I3WMkrhVMByd4uGxIE+hkQeAfKL
+yW50gaXQJLn4+QMgrxc8ahU5buuZ0BUwQYRsFFtAoqlJRjdM/Bg8hMVCGZ3DFayGHNEXXpSldIj
74ICtnfXRCSSnXQMMnwXVVeNwafqu3dmaFjdIm1j+NVpOgAr1ZG4GlYo5OPDj6q3YJ9AryzGl8xM
4Cnq3IRXpcI0HBwZQo7GySI/1O+TgsOSL2qICnz4DGwqqRJ1lWNI4yY2zRQCuNuiqy9iQ2WlrVGd
d8sOromki77JyWg0YDE58ERgQDqJxzi5SuJPHjQOPhWNhg2sUEC/Ol3vW+s2oaBGVwT9Na06VJ75
EOYGZ2mWhMGNAG+xKhOEL3Pp51/hSJ+V24opTU5T4cv6zFOp37h9wXPgRnhPVxmB1+ognve3YRSa
77q6ROlxjvom/NxasV8ex54R/+gHOdoQnUfKhX2AoAtNelUuMyuWnw3kxUtghP3c5gzMXF+06lqn
VXkm4zAwXZMUxAezZzJwR4rIT0VgNP4iIgksk8HwqDxhSYrzTQwGuT+FJn2wNtrRYi8C04A32jVD
swAn0+ZnuKiJ5XgyqhrwtLRBEHrnwbdCNvKD0UOYDkncqsB3FfAipR1jzIE7aAkM1cVYDQ5rfcs/
yQAWyFaH0loOadNUF13Po5ugKXNb8PKYxV1jHg+tBeCECJfDKovCNL1IrI6dGxVi6ULlSdyc+X2b
KUdA6ld9gEikvEMyATMCprNs7FABt2rLthE5eIE+v4n8HOsvOB2oaOwBIrD+Y1ZRQ8JgpVcsFDdC
/9Twsva78pHROBEvrfBES4Tfd6XhDasC8sd6oYcaJqkmVUDfdWE0mJexlUWRnWcNsi4YVqxzeohu
ykWrMkCtFYmGHO7AY7AdZRktcEe7wm0iIorVIIBmsEPW+dztvR4yi15WWvnn1uzxh0AVMNfA08lP
MNfj8l0iEwwGlmQyWIpYWa3d1V+BsGohOxWGDf9okiRv3db0K3bBvEg017lXygKcO8zoRaYpoAkb
h74717QK03NeZIq+Ix2KrBOvSyU8V9cZ/kVYGFnrxqUHNgOisbq6iCIP9C9k6C9LJULlth1CJ33O
YN33lgUsCvMUv7iPSh+rXN49BPkPFRpPM01PE09zMlgX+rZIy/RHNU1hbQ30vy/PxWD7/DxjfHNf
z/+UgHmo1BmlftIpIy2MMPTKFeP54vvCmV90ClwJAZcycQqNZSDotJ4wxtAkGfboQDFDdQGFI8kw
4E86RR7BIHCIBa4ggI3uyDP/zPZtoQnFRo9/fkpgQFeLydYITA4Zu71SE2whXEMy4QMGqmJFUo2u
wI1o24uHYGHhb6kPC9keTEinF1ZyrkVT27qV5LzN4O8Lwq8snFzVeba0hH8d1fW3shwc1BvdqgzV
l6QwV3nGr2kiLjJwzXbJv2KLZVDkUC0GHp5VJi9tvzQbm/j1x6xLPgQoye1aosjJc1y5SGdfvUC7
0Dz+zOwDcG/5egAGEAfDF8KM3Im76lSZyUJ2AXfCQR+XNTDXQTJ8wT4/blWoIetdveu4+hrEycdB
pOcyyL+w/2HvTHfjRrJt/Sr3BdhgkMHp5+GQc0pKzdIfQrYlBqcIMoKMIPn0Z9E+dts1NQq498fB
LTQaqG6XnMpMcsfea39r0XfauPacD8vwp16OjzVpoRWM3gYK6WYJlpsyqoMY72yLW3xMTMTTsBz8
2M1DbMhys4fmEdfWDE2V023QWxupdBjPbfiI0XeKu2EO9stYE3Sx9FjZDUZyY+18U1JMSjLfjda8
xXi5x3QZm86/Nd14Ow+tfGi8+a3pujrx+/BQMPvJbr1jaAsszuzpXNQYBkwRWJlX8d2grSqZxvFI
qdpjnybiPvcOM/miOH8t8vFhDj0Tz7Rm8RKa19pWa6vsnpuAvrtBp5PIIw/+kvexsakGtZRvMBMX
8Wy0n6E67So1b8PQZJ0uT6PCZ1YUDU3NXFS+jOtq0PIK3QRhWR5UYjt4JdT9QZRzvNDOHvYiDIts
CKI5RS9QVXEvbBlkTklznSnlDtFbo3uzrwbPGdD62lMbT66ZadI6AtWsoQxb1L5POhqd27HvM2wh
PnMm+9jKqZO61AKn4Qj8k7FTs6jPfj5SNCX9R+j5PkaAKp15u2Cxj6V/4dW3wdLNx8ANrizmoP1y
Ovwdth8Liz03E33h4WQSPek7ICwMCENXprT3vlSd+nDm6X2BaI0zrXksIK7FaCzPtp7muFbOUXKr
zCozuBm2jTeT4xapG9U7yuQLWkIMXxZtMi8PX+YBu8OO+lXsB+aLCh0T88ZMuHKGKOUlmkK7iopz
U1hXxUujU14UBw4ghk4qxUy/dzi2BfVy9DnfVqK7aLfCdraeHjqKA9cXxbZh2GDQSMaF7T/l6zrY
w/8TEvNULP2lzJtkppY6GfUCMQT41myJoxUES5nir5piO6hTy2dW7PvglSymkkZOOh4NvvGK9bfj
LIp9zdhx8fkVGJIDVi0ffoQ9ZAOsxd70cy0//z85ff73nSsuFLQ/P1d+JHn8/mhZf/D70UIgx6Ns
g0mE82kFL38I9cAnoPGC74RoCGXShtvxOz6B9H0wny5kRHw169Hy75PFRebBuqBEyAWe7k7d8O+c
LNHvNDdohVhtYoHg47GH7hor+bOaxRyuPT26zlmKHmfByWqsmTUxkHLV2mlEq/o6Gh23Tpmfk/V0
GZcNmWcSxPNQetchFk7Xo+gt6EGTtfcwgZxH1N3UOIof2zxq72aXm+txot1pzQz5jJHOHJzW1HeU
GHmEWod5cpiCd+wg6U7QMN+QSnoMnMMgXhlg6Ci2dFSn0nRY8TfA7QiItoZ7nzTQ0w/LLZdbR/nl
mESMC8BHpIlhKI+Xzu/Tyamc2LOrNgGNWt+07ZjfO1XEbsfOatidXUEOxwYvIP0CGAEYZCxd7Eem
lASYq/CCo61HJ9bYskjIHyYU8xsEe32R4EuNHQvp0BR8q7avfL/DAehhpn6wgJ61ca/rIEgmjDYy
NhKjeezpuX+tx9HdU93iiEWmYBqAe5Adpomh61PCPZbaWkbeUXeufMPZ6mPpyeYuhlkHcqjVa+Bj
c8lddzsTVe1nhgCFVCz0diFKBztHeyQVQfV5qBp26HxQimev6od9+BUsWVbGZJYeX9yE4cKE2hBh
mLG+Kf3/t/vR/30VYb1H/7wipO/N/7kCiv3++4qw/uD3ioBYfTzdG/c7QbCJ/9XL/qPZRApdhCRJ
3Nf/Axp8Lwnr7s4GhQW1DaeDjTv/R0lAJDDaPqweHB8PNwyo4/ydkvDbigBMfA2gRa3Cs5ooXNq/
VoQhHyvVLNy54WLa2XV5Coo6cfWc/fTJ/FFPu+aadv9eV+CdoCvGQg45xaAqHEi3v74QBNsaPHZt
bkCM1vsB+gDNvgLIJQYo4RQ1xKrASskgrqN5PPV19xA40Ic7BSDHQPbMaknqo5ZelLoiwu4CJSm2
PJBbuZHPRnVd0oZMxszt8oSp5q7DCyZO19wIu+QxbnEMmr3TpyHG/MQNWhq3S3jsWwA+lS0T4LxL
GnlAQF3Ai7mvN1h0DukITCFVNZrIgD5ZYXCO6BjFeJvPjKKP1JN3B2Dt1mrBVlve1VBi72abEh1F
GO0hAFyZvC2yNiIPeRGiVhVapw4rWTzq4QIdYYNt5FMUynenCF6Ldn6RS9vHAK15Cl3+xpP50ceM
vAGusvOjXG4Vk/iGpHwQfrErQ1okDc5/MHmfgIbVG93aQKg0sIZGTF1qjYWIGyr4hgzLK2lbnSwU
eHQoN+HcQCHs3LT369cxIA9SFWcxtWMsyHwLYmuLxwPtIExY8aAh7hrqljEmZpoAJbuz5q5J2qEP
kyB6jYY2s1FHxx5wrRppHeOCSAERBvj+qm0djB/hDHTD9r2zpUdvb/OWp73wExLMVw5A92lWNDaM
lJuaNDcQdKqN65rt0tJzUeRFPBC6jTQ+W2bQP1u+p9OuB4IMRSSa61vBlzl1F/VY+mCxCwz3sTs0
d8qMe+LVOpWu/RmGAqDDZn5sytKD9L5cOxP3Y8WAtMpFfiGN88UxDZY2E9mJJtrjeYUkqY3ZtrV3
abGpmbBFPgUu0Ha/4Z+XqntmgWJJ64t7X9cV2tOg3pnR3QaBSRw334QcrV+GSwyMGwW4RybWv/FK
FHKzhNYwJ54/yZjYU12Cg3UkhC1IVTy1A7PBiQMevZfToWnQGTozSeyc7CV1vxg72pcePBSLkGhW
604/1p4LiKYwxF5iNP5eOk6kTOvK2bsd3RFdXw12kc1h/5b75S2prXfEE9dxH6kL0Gt2Pzv6firU
AKnPpMLUZG+1Xgs6RJ9C2YjUUqDey5onWuly34yFefGrQGVT0Z2L0s4T1U07uDGg66lTV4HBGdTO
mOEZa6sqnqIq0ZUN+VOcax+3rMvrm8bxjo1l7ZeGwQlQMJYt09xuKl1+8Q3Oz8pULpQccguhfTuJ
4b1eCoMBy4q53z0bmbX3wZ5RCcXV2s1+8DZV9uvizXUSNFDZ5ua1oXfaqN0ME0UnCvDNaJq5TJyN
bacsokPMsF4zLt1pwNWSMBGXS6e3blANG5vU+Dw1feWUQPUWJs0tKcH4dNsRY/YszIsUFYTTmT4C
F8BMbWGxc491ZFKEFDOlcFrS/Kcy+uvSd62iOC5WF5CHiGGbrEDbzw2cwpxG89mfb2AcCWK6zQ/T
nThjZoutN/4E88jeTfI4P3ZJNabV1t3/dRnHMfabIo6Xj/CMGPSizvpg3V9fXuajpy1/XG508Nbl
+8iGj2Z6tUT7H5bDf/Q6iPqyA4J0NyRJ/GaJHw04s0roqzekPIFtiJvmPSr2Brj9X7+fX0+/bx8n
Pk+cgQSoDHCYX99P31N4Swizb3zvKH0AXgLX79Nfv8ZXd9SvJx++tJ/ezG9eZERXqxygXzd6ox5Z
Umd6Z38J0xCMzHmFUeNbmYFd2zi7h6swbeIrfS43jyrLs0t1MPFOpvI0pPgXU7HBf7PHv/791idd
/+5LRfYWBhAPkhjwol8/hAY7YsJnm9x4cXGVX+zMPpOn4oC1qpWM6RwfXsh2Sq76jdl5XtIeWexe
Ovy+wPWSr7/K/++N5Joi/dN38jub4H81MBp8efttG/ntx360kcg6XB/o862HdH+eLJHEAM8eElfc
lX4lDq7y75MljN+I4UAmJgXnB3oMf/Rds4RF0MM8iYwHTKQUbejfaSOxofjlKgL+HwCwxXiL0Ij1
Ylpn4p8rUzgVfTSGbLyuSjiqwiaiZ8mnY8ibPvFG+ejDYNNXQ73jImiWdyZUb11GeOTmfgFvvpo9
ItbxeID/YyjoQayGkL5B00BWk0hQE2tbrsYR2rFNUcNKgn25nRQd7CXYaMBpEumeb9qv/pO56F4i
BhrT8gOsOLG0rJLOUfSgJ2s5eB2fWJ7M4VwexqZOZye3doMlP4qIL6Co7BzTlgDPQepoPer0Ywcl
+eiUfn0OXQ5coYQm5bIuC9vZ3nQkhLNMWnYaaCiTwl3ctGlKJ3a+utRIdKwDoPp9QRJvcIaNN3VX
ocd0rNHHgkxdJghoA7agjJsdTDNXRKkoGXj/Ik1xmonJGMBcRzlnmxZHswwwW1Vg/WG768HOhgnq
IjhOfMMA2y0goHIoPnIj/Nd5qXS+6T2YNYFxYMPOFNlFcrxltXsXQt0d9x3EpeFSEt7vvL5LeM/8
Xe/Nit/5g40uio15oGM3yOnWJUZXsZd7H3U+mv36zPftyOs6XVp+M1fqCmLygTfsqredYzjArKnM
wWp9zKvYjvRwl1VL4pXdF8Od23KIXv4pHt8IedxKfz6F/lf79kXI39YOD/uNn0bQrxj8KiRhWoQJ
B8ftjxEU+w7sGnzsPH5TOsJ/wcxjw1u8xiYDqcOx8L10IPyHoPkF+YbQLigOwd8pHahRvysdWIFj
oiWws8MjtCYG/Vw6ROcttTfn6tpu3PtaqDtHeceWqks9dXD3acoOhQ3JidAdzHEwvNZ1vsm1b6Ak
jXls9/DtBLMZU0AJtzacnwnrAmj9FCsCtZDLYMNkSSP8XTwQLGuqjuyjQjpxx5o7GaA/XbgIYyKm
s9XbIm551SUwhViJNXl5CrQErmDtWLEcTH+F0eUej1T0zoFe+KlynCEWvtPj3gOc7TTBliqYU0Mt
TOIzmBUXye8Zh3ezsVoIO1Lt+87b5OFQZKoGuRDQ9h182yPYICtGT7wTrnVnLVhW5L06LysGsHjF
J7C/kOy9cU6kMBmX+4qcSOF+0exNuskQFTsh8iI1q4DVL2OFT6RuUt5Mdeosqsu6uXozCwwC0yC/
jFDlyNCZOLLxhqTO90qGN7MFv+/MM2s5jQM5TDR89Sp/L+yKxtGMgS4KvJMs5E0JO3hM9drBTOS6
9mUDeXvMSGjjK3GxRRqKQu0DSe0YxM+tUxh6iSz2eXL4RfEQC//GbZKSMLJxeuFgE6XJxvVhguhy
MWRNLas0rw2JpR2enJLt5xGbGg+aXBXy26lWgNWXkWS9C0QxVDhE/AjsmA9gICv6Qd8Vg40+mERP
hSWqWJTdtrcrWAuDexotb8Qq+Lad63gAMA9TIhQ1h2EPAGYIy4BuZ2ztJP7QH1yC97LIfhu5bZXU
OeH2TUcHfodBBy8sFYwE4nqh8nMpjNg72rrBBf4WCayjZFXwA6vJs+z1WYJ5Sq2QAuI17vtkxncd
zPMG0kYX9yrMd8CQPrW4RWOBXyWpcdJsIL7eeU6hjm1oH3RVvXRLdFx6jLeeYFthrFM/QylUdmhv
hiInsahzE0ulroZqwe2j71mRf+pZEO64C/Crstq7HKvFeHLGp94N9qt1bhd64oBK3sBA4bebUPG9
X3jwc9rsoAdMx3W13OHvNKceyjGGQyGyofChlqzMD4zV9YZE65c3uXNi+7mfkpw+KVHJRC/jGCvs
vg7KGadkwlYjZnMJ861qhmSZlHgu7LzYccbkTeV7UWxcSLhQdDfh2D6GzlJBbWDALCoSK6xD8QV1
PMubagTyUcNNh+3NXpWCxaLyWSqdcW8vob3vQ7YPSN5sffwuce+7c4yyOMDzqm5UNSyx6PmODv2u
svy0ElBkq2pAf9BYBHcaHRIgQZiqKQvSqFDpQAmgLvyDRb2bCvZaofQDmaqjJ8eDcOcrbFvudIBl
7KLaLXxvdczbfIl5Ta70ND6UwuPIJmA3LR0vdWEew3o6q3Z5VjmFUwNIetyK6hHY5oFO9m5W6n4I
fTvuR27HthBuHDVw46o+C2wpNu0cQgyQ0zmX7qXmc5NNhmSB0x2cEfa3WY0f1Mtfy4JcQ22/Asp7
01cB3D1afcpzDwa3enluGHwptA/hXa/aV9UG4BlmWI6xg7sXjB4nqxOZbnDVgN2e60cYJ70dUh5g
pkfmm5MxAerQK0X6zxH+7QhH3/3nR3iCx/t+DWPE89r/4CDHz/40BHjIXIOdlhA8hGhlvn8c5EjH
xsPEvh/JP4MLIZ4OiScWRXjCc2Cvrt5/n+TI3CYhHCqO/+2U/3vggv2ryPt1CAAHj+eKwq6A/6xm
lJ9P8qgNlmhdMV03ugSxC4+qsA/NROiBLwCck8pvH+aqwKEH93gIS3taeS1W7nCWM27ZMRkqqFDD
sQ6nOw0P+pzj0OuYD0/7alAHAwjYdXg07XwVwMHulVj8wjgV96s7a5oOfjf6yQTLXLk0Jm6hWZnV
EJ8H0bSV8Mi7IczC5msvuhroQf44mVxN9UtIN2NVhchSAAQcKfYyrxZ81dA5i4YZtnzZ3VMfFY2u
ln3skRK3W+xkhqWUrrZ+CX9/A6V4WA3/KJipV5pPPgy81RoJgAXBZ9yFZaKRFuADrMO+2d+7UwjK
DoECwEef/YJuw6Bbkty4G7aGD7iI7nDWOAIkhOzUGlAwY6cL6hL5KCL/1CLDwF7DDDxYaso13qCl
9bZG3kG4Bh+QCREIUlsiDovuS2FTL52Qk9AJD1Ela3RCPg7vfu4sV3Dcv5Wdlx9HrwS/7gEsYIWf
IQyFYNUWyJSCfk7KlZMTaoq2xtRH4vX6JYy0hL0NK5LNKnvBsFxmNA/EppldO4FpFqQrYzbiGhb4
4hyuzrMdTmkN48omxKGc5lg/JgMaTBxbNcusEoT2bJd5xm1VHktbNFu4jIc7x9PLIxoylgobVGOt
GvuM4wpeSVPXL0KidJZgd56hUre3SpL+hvlOuQ+JnE59lLupnhtxWFdzY2xRWp1yw7sVup1Oo1wa
J15aO/80haUVghKz+j137EstIpIxZroHe8YHv81Dx3+1gAN80LAZoehj3jLDPGY1RrC5RQeo1qkM
zmZcNxI4Kwa2YV7wqZusxyCnMNCBPI4Sqx+v5Drr5evUh/UiavI6CQbrTEgxHNJ1SuxbG8aMdW7E
AAlau4jrdabk63Tpr3PmQmvs/tbZM1inUPF1IHXKu+DbhIpZVaxTa73OrxGY772P0LWYrdMtQmDg
OcXAO62TL5DgdFpn4X+K+bdijq35XxTzt+YND0B5U39QyfGDPyo5RrI1ugvqi4vYp7VS/qjk9r8i
yHBYlBEf09fqF/4u54TIWcAP4dnOWBrCboc/+j6T4ZFkiCHATBbCULNqPX9rJgNX8LMoiEqOpyys
DzjzoR/h6Ui/XdfxItS60aG4tu2m2HVFvmUFPLPSNccx0DM0B0edptERW9de0BVM4w2vKAxPvP0k
qSNSZakduh4vi1w5J4XxXaTxsD4ZGV3QixonZUNoYe/vL6llpvamL6In5i1oHFGpk8lejuC2T9Kj
u1BEwHUttu3n7ikPC5EsfXhe5AytQ9R6NzbDoWgrbM2od1jCEmAUDc6+Qx8KD3fkUIaXyACk4bLE
LCjfHI9y4LHFo269LjawUcE4EOik1svZ58HTlIMvxyH8HDXiyZ/0MarJyQTNveW15yE0XQKU+IHL
3I4tAktIbo4BVvKcVxtSWC9OOSVFX2wwdgZwdnenLhDPTuhfAeurYuYhpWVCS4iL4m1o0MzxCZkG
VjBkpb+wGEIYInTktAJT/ZyFIR8zrfUMV1B7Lc2EElC4O8GcMsYccWUaNJ7FYsgWx8Cm8nuMR7rC
AUV4YjnLjZv7n52hu6/HeQMeto3dgt9M1N/MrN2XwMtxOKobfwweWJ8XWUfnZ7+E6FYar0sxr9dJ
w0uxcctZpdwJtoNcLnLiwYaw5jCR5p2t68pwcB58JglwaidPfBFdVzpwrpo82E1hcddfUYakMExt
Jjz6MxoBRERvykDDM90DHR4AOA7uoIESh8/MR60be+7EjSi3cMjzuG7F5zrwRVoN8Ck7Pdk0IcDg
daE1zLsSaQuwilefpHTfA895N8IudkVPr1aoetI9EDpbt1kFhO3R9Wr4R+YQLUheojHrD63n7xuP
wKnANjIsMNDAxJLN0+QkTuGDuPvqqObeOGRGW5eyM1+ipTYy8Wyoijamw6WnCNDCvAgG0kmwU9hF
/jqVODkUBwClKRLud846dGJd9wZ7xT2OthSHVWavCiYuXVxH0ZNwNTCNdXztKemzMiqmDJtTKKRA
iBOyDrxDAxHD9ZrbSMMm6uRuDBPgnkf+KdeKIFEDg3NTYFceBDiiQggdG3cdsNGr2RtrHbptcNrH
GXN4jnncXQfzARN6uI7qE0wz+07hvbDBQPxfMGdRTIaFvVwLgTulWsd+yJ43OXQA1mKJ1q3SgA+N
oOH+6wDNQIlLScGUSsgJYdjm+8kXV1OOZkxDcogc8YWqBjMvxIiWtl0W1AqA22Qhs2PVLIy3KjW9
V6RssbYYKavl1VlFDnmqqr2C8FGKfk76HJeBbvO3eVVHnLk/56tewiGcTNh2cgJgboakYhX1ez3i
lnG4wLUN2UVFiFNYdZgIS3vA5s09zHcf0SrWFBOuO3fVbwQvMgrPIZbjGA510fOT5UzemUD5scq2
v5o0zCywm1VZEC15Oq1S0ZjnIikk5CNm9FnLOoSsAWmpico7JnE1e7TA9rYBIEhzfOOwuMAoOi8X
kXc+NG4XQ26rl6SDhuWiUQFtixuLLX0OIApSF4TWfKPnoUpFP9Ad2qppFcZqOMLQPvSXlrrHBtqZ
ndv3+TqaEUcf8nVYc79GoamvsWjdRORzHXnKZL7ifpWosTqOo4YyO2i3daA65FjMV6VCd1cwevqn
J/jWE+Ak/vOeAOawP6SE8EM/+gHosFjFwNO9jmpAe37qB8ACrcpotDKCv+QurRndgHdgTv2mw65D
3/d+YH1+5dedjOe5SJYErf43kPSvSPxPS8J1sluHOuQFrE0GheP418lOd5OCS4+512qiNtQbvQcZ
DIStcl3Q6P1GuM4IfXR+Chw0qKqgn4HWnQaIB6m3GnGqCRuEQbLjgOocc5ufLUA3cbh0YzopfTVJ
X6WAJQRSzcZPc8RfWIny3ja3Na22fB4O2Ejf9h3qX9XPGNE6RyH10TlxwBlxYQUPqkZSUBO1Aywy
+QPGzScP/j8IasuU+FN77RXuNTF+FvXiEDT9vvYWd7/oXCYjAu0SzaYtsgIyJ+w+sGK6HU3hHTj6
HkSMfQoBUUdqeZywlIoRauTELrx2MVKUOOLu8sSeEMMSdOzRkPG1xo2ZsJrtnFHwuMMEBabPlYBo
Bp6UnXtVt/2hqakLTlB+9JqReLIEJLEmvC5bCem56K8rTwPmbQf4WkrIukEralh3ZJFEdpFfKV+s
BMO4+HFPl4/QAd+hafB5KfHhdnnLLg5cMzFT8p1hjXOuRLP3kCMY5043bxlX4bUqJ0RABQbfGloy
pCgNRVK3k4GTjjNkvRF/i0kTQZoSiA2dguJiFy7ZLl1VxH1RNlDJXdRLYwBNtG6R2XNTAZ2aGoxx
pbOt2Op+X+Dl9ic0b9CxYNnKSUqmGTkmVJUbanf5BklyTSbbwdkOwgVu4lYnrKKOy1Bd15zsh7lY
0rINP/Kl8uMKzFZmqdJN5xH2A5IH8xbjTZPZFQvxQZAZu68+2g4VKnmFUKlt5MDx1BYSdnZ4BW+R
dRJux85jGZ4JWu1sO89TtLlurFzXuiAoakXC8E77Cbx6ieZ4ExbWkFQgQWOA1l1mwYEIS1FdHjxo
otvCWcEZdTOONs+YFc4x0iQ/iQa6Q8l8uF77iB66CFpbQdbUhmX9iEqHvxrlVQ8cdkvQRxEHoIKI
CmdaSa2ck2twcrAUdksO21GAz1ha4y408BIxg6DQNBjLL3UL2cCugjzTRWvt7KHajF6T5TmHjArj
VdxGHAgUddsYqjOm3sqEqQR+nviI8bssZLpU03jrm7bOlFMR0GJOcwXD9rCDp+9j4MungWi2GTpg
wE3UyHMJf1biTn7ayN7f+7PJT74V6G2Yc3rrWONjGYnBSu1hnDArOBMhcTl2nw1+q2CxajgcqyZW
Ieu3VjnfE8uQzQSZIbF1dOCt42fGzCSO9IiNq0IIJSz+8Ccjt5Jz64AE113pug8a+m2CXe9921eH
oOI3JlCJZQVn5b3mgXMcha+fsfd4N/5wmqgFVAghOGloRgPHRMB3UTRUcSlXVKq2Tw5ejXXsqDX9
6OFlRZPVnG1jk1hHweMCeisuqyVEZlD7RQUAcmFf3otqviC85QS1BN75VUnhbSi2dQnvyKQZZJZZ
IC0TggTiRdo9V8hiCpTrbeYZXyHp2+vRKu6aKX+1xfjSUZSH0O50GtTyWBryNtW+j82QC+u7EsWG
jAT7Zhf5DVRmulJoXBe08Y3SZxWaJyTfYe9s0ZtoCsJYtAHfQ+/DvznY6AvqRifdII5jZe9gewO9
BVNJZYv+uoSqhajRCiPMFKXDJN9V7tdglssUznP/BSve1ssEn87cGT4LGuz56D3D7YbYy5bElVw+
waMPJzqwUbzpZsMcCGctWdLGD65YhSoTCQRoSpPUEUQoLcjO6v3dbPq0coBHWqW5IJT4hNg7rGrK
5tMQRruAu1ek6LYW7bcFHOj4TpOpIfjf3hsLkTynyvFDlcENIi2GTIt5P7SUZWPQwC5TX+AatnAW
jEnjzkc2NJc2AlEKuq1BDArz+S4YG56ObXnflAgNdHwZ81wFcTsvuxypCGWD4Ds1IZXGSbDGfM9H
xKHiHIM7CN4QFWLxVTdJ4fNbu5Qy+6c3+tYbgV3+894I8RKj+iPZGz/1U3MURMDdkC2EWBNAK780
R1gZ23BaYHH8lWL5IZZE/wLzgj+CII0A619kb4S/OWilkBKDvxTL7b8ne6+yy2+bI5t8De7GrxBi
lf5rczRBZIZ1O6fX9dIF837xRet+0swd8mvYgt22RbNjOcAj1+t0ZHczLWhcA5fASD1C9QaSGSOl
pc7GaKCp8lp7ZxvwpOHkojvR4o3MS5Gg4LwtvZrS1mUqlco/Nm0BV3Ze3VQ9vLBFPmRITkXaagg/
bjgvqJkRuiqEu+WIrKihs1utzpgcGvg7huPIuygmQfmkiX8pXb71m1YmYkq5XrZlj5w6bbc2NoDi
AvDyUfhij+EQOa8NuF1nsNCLwCGMarq8RZW8+H5v70ZUcuyrnBvHHprzSBexgeOKp04OhrRU/Yeb
F29jhSy51gqyYX6HoOGls9dn2oJLq2n5eXLoU8cLbDahtOyoQuoJVKcuqTsC8kxAhFrCSCZET0d3
KavMkcv7CB/JKPSRRGZLAqA0ndgqV2USMR043TROEnj4pHbfB9zaSKpE3KQdo1M9IR90t3gI7xgR
ChmzNX8c5SFc60TTdLsWhWMS1X2DQjIM/NJJ+8hQYOD6hXfcay8woCXjWoPsqZR8O1gk3IR+dyBe
+4kjqTRBatMJZ9wJSQ58TWrm/gFCnryQCf3PayWbwsmUKwp+sZZh7rYtWDyM3LX9DHonEjHA4s/w
sOKwlAb26vEzlhObwImKxIT443I07+h8VFJBmo9bPe2GmV1RnocZVLV50w/sw1godFU4v4ArvR+W
6UI0eUXez8EWy0upkSrqe8rNgoJ+KZ3pYOxifm1YX8cguZCw40Is00h38WysTD15gc19F8jQOo1B
fz+XeFuI/AX/UITX+aTAcrEFK0gQyGzAgVL7UTb4s71bgg9SCYrQhuFRD3Dstx1cgw0SJGoEg289
q0QgzH+zd17LkRvp1n2V8wI5AW9uyxuyWGTR3yBINgkPJGwCePp/oTWt0y0dzYT+a0VM6GKaZJFV
QOIze68NWkfqNsjBvoYcHH2EaTUts26cNp5ClJGM4dYQzUusyl3JbbMsvGJYQNCgXmgmNtOABnXs
BYOyAvbz4jwG4rluNRZDps5zJ3kAqB3C3zBclAnshQH64DffZW7qsvEvDwWd8SKCDtJVnr2InPSr
idobmVtvfUPBk7GTTsfkxKb+KNmiYPHzjwUokwVuq36ZsCKpZ20/Xky1rQZs6m1EY2/4pHSl3svk
lus8Q/3ehC9masrLhLdvISIPiI9hP7giugzITDRfPVeRFe9l5O+noTriHJDHoGyeHWor4FcX4Tj7
yPRuBPLtSHM+pTWd8rzepSXX5uSwdZCgyFeQgO76ntoEeELYxds6ifx1Ovi4IfrBeW36Zh8ZSXcX
eD1U1SLbUP8fnbZJ/3m0/WYqn4XJf/1oW2f/sypr5Fn/xyqAb/zxdCPLAxUmAijT8ub2/udVgP4v
0EcaIFLwFTTgPPh+rAL8f+ENslCDGnjEf3sm/mj95y2BYbHXRXDDFPnvrQJQif3x6ebxc1CcE/6A
Rpqf++vTrQqDwRZ6jzzLKh/VrM/oEWoILE0LN2nqM2QqVByYIJ5tS7a4mLNq0brCRXBB692IvjhM
IS07IL4aC4P1xMzPXdUcSEsJH2wzWXS5+awnwexSL1urK9dV4PfLatadJAhQYO+w6B28iPvYffAR
qeAWKDbOhPDIRcBCgRDuaiQtbTw8BYp7qk/kpS4jhEEi9ne6Fn4UCGIGUzvSwp1KLWLnNmtmtDrB
IWeTaSER1GQq3o6zwqZEasO4+CVojUPryAa2T3fR+jDbhBXcJOy32oK+9t1hebxrZxVPDUdo45fD
p1M6nwAXkxWdHRh9xD/+YD4XRlkcZJeVSCm9N6OPbqNZMcSvCS46v0ltmgCzd5cicsryceCcWxua
vk11qKA2CFAK9U1YUtAGjDaxG346mb4eZlxomcktzutvbq3ulJOGOzbBHg8CG5CPmqZVEgtn3Ynh
xgUvv4iBksbASfuZUgrIoKQzhZdfSBimCTDTrFd702lfIdeA7jDhnXas1qeZgOpp46OX0Ueeh4Z1
pmyHiTYEq4N/FQn5NXWRjYikT9ZNgu27HGb2xZQN2zxmIVPFib+X1RjdmqnxQEmOmgce1c7wMMOH
qfkyae5C5tC1u/vOycITD1t5mLS8hkMi0p20y7VKtDudQTTmEY/BOhuJRarFj/Omgu6y8xamYDpq
huDKpCOHlV2CWROiPIdJECychkeHo93DLGPOnKCB6zC8Zc7B6greYlb8QTI8STv+5pr5VSASZDx6
hRe/bvOFK7o3K2+YR1vmizCyV2xTIHJDdzv6VolCIdkZGnsOt2xWA55ZYZgFKjxvM0KjBoaADi+9
cgIX1h3USRh7l3wqvuAQeMSCeM7CsUcatRQcEwyBD90Rz3ArWNEMd1nUXo29uGf99dpig8D85SMN
EsdqqE+aGTwMRXIcVc6nFRiPYc7DOqqDexhrxzbhHZJGaG1MiR8p9fxTYVgvgase2DuC+w8zeAUC
kS9MrXcCH+5UnZxCWW+MYFYwuv2N0q07E0vvIg/i27rR9yjUl5YHCgHtYOeooxT2ezi2j7MNLSxs
hlD2TRRPO7POF1JD7JU247Pded42CQWQh5jyi2MOHHAlGOLNnXIAJ2zZx/Vz3eQH0++vUxN8uDY9
dgVTnR4QD/EGag9Nfab/zfMtkd0xBHoHJ0fHmGb1YnK87QyeWdPWeeugLed0CIaOkFt2k8WmLJF5
As1JLocGdZnBlGs+cTml9HKdWv25xPjLXqnVNl0/3oYaujqdakfjLeBMujVH5zrp/A/boQSVrvNg
ONa1aVUJAQ4MLQDHo0yYj7g6moAPaxfDLzaZG7Grkk2+aJg4+rqd7XIWPHrWsrDLW2fpcL11U3jR
NevdzSk4Q8O7RtgebMNQiA2+zDvdZW5YhakOh8l9N4B8rfUiA13syPVoguPKY8OaS7tNSmNct1Nw
SaopWca1fl/EfQHu2Y0/ZCRODkChNYJs+Mjxk4r6m9qPdrntfU1Ym9YtO0wmThoTwEoCEm1sQWvQ
TPlTzmg1vJ6McFy0Tl+ukSAdba++92e5WD0Lx0AxvpZT7LM77E3k+9Nz0CMcc/vm3WmBgkxdfbbi
7BShSDNRpg0o1PRZqmYW9SEj6iMNoTF0rX2LMu2682GtObPQLUHx5qF80wQik3oWw9kq0HBodfcm
Ork4QFmEbi6ZBXQpVnx+m+nZn7V11fiY2+pWquTM9cCbgAovR4032WxN2nl22WvFljV2hzGtvRRo
+HSnOYAGPFra8FAYKIbQ+jlo/qRvFQhouKtnOaCbOQgDZ4mg76DFiGfZYKEhLeSMXalY7gqUhfUs
MXTRGoLlAPM4yw/tWYiIGhFJokz20yxSFCkYr++yxVnAyHzb2DOVilf+LG8sZ6FjqtV0hbP4MRyw
f85yyH8GDt8HDhYVzF9XZZe4SWdvwp+Lsvn7fhRlBnYby0FkZ3sOJdGsmftdn2EimvMxZ/+GAZqn
Ef8uyr67tjE3/wxj/ndRxqrmO4AeVyWiefzgf0szz33+x6LMMkARsy2i9iNL+Y9QeT3A85HWTnke
as3dFL2lMMZYSMUttYvcGh3SOFLjMMy8ATihHcHRIWN1OEH2Gfya5xgG+DWmcIZdplldks6xdjaY
tZNKA/lNshQGcwdnJsrc0f0+vl5KX1BB5LoYzg0j+5sKkuWL0Jx2owdYD5aM97MVsOWChk763zwR
3UGQtG9CXRcHI4xw85LZ8QAh14al4tYXZdjw75oIKXJXlNXC7QTbd3ss0ZviLIzMxvgs7S57trWs
2IU2uVfItpq3nrEOnhgvZtxPw+8mkCW6qJe3KinWWRe3mzAO5arn6dXfRILK76NkaGwd9SKYxmHT
lmm31ae2E59W6CfRCSc3DSxMsKKmTMKE5IY4dS9R4rPmxV2DPrA1J1edPEaZDh5uKxqsTZkpD95j
1lM6rlBqZ/HREYUY6cmz8T3pjSpfG8on5CMYXhyVmW8I7MHEi8EpNiH7gcPYEQvFQmx6g/loU3AY
sXYMZ4Mz8l1/G8g+fOdKipdaMU1vQRNNn048PNei2hRhfBBzuZHrTr9Udi13sMlCfeHpHVuR0RPH
UG/Hq3Q2gdst5+JiyEuYmrEK402TtyZb+D6n7k2rJ4R72R714oOZVtFOimpcRJqi4/fqduckjXPx
IpnvW9H6D1KrnBP5I9oKLNA8RGnt8j5oNKJ0EAy/C1eJg5m1VHPs3OBPiFXd9khehGiGNUOuql0N
QUzYmCib/SiD4s7RvWZva5PzGk66u5p8N3lAgpNcuYmVXDeiSl5Y9ZQ4Mtzxqkmn8mXqBnHk4p1t
/OBGkrAOnr0pVw8F85Q1I+n4IuJBnqM+Q6mOPQ4jhGX1zaJpLILYIIK062awm1VIPJw7Fy7OzuiN
T99BgJeZB3dQ5u3ooAZBgO3on7KU06aKNbh5sqFsUMwG/jmLfxv+cjr+9Vm8Ya1Q/F/tMd/14yTW
ieMghhoEDigoU7PonH8/iTlUGXfQATsaXzFzc360x2QVeTbzXQ5wEBnfO+cf7bGNJxKJnGu78LMx
//6tzbj75+HvLJ72MVC5OvFI0OR+bY/TnL3h0AbuieHXIWyrvrhulTE6yyTvpQSDGnfT1lNNA9Q2
D4fH0p/tfKVPkhklevQymM0Fjuu4ipoiXaq226IWXeF1Z1mkFQYSzwwmlp+8c4zHFE12vB5FA7wR
xCLagBYWgXgBGnrHJvxJdaWe3rasoi9sKXc+LKvCDViIUFWFWixOaVB4iju/YusqwpdRttE5CKLY
OUfZ6J7twgNoYDEgNRcOurpyZQe5Vtw7wIQ3ATWj4sbRAw5/0UTxY0dTBKg5VU+p4Ufs/dNyF0dJ
MtIO1ddQZw+qs+/s0BpZ5RSP2pTddxbLrDKSH8Ys1HOiDiEzBtC6Tagtzfdopm/Wwjo5nYH2bnjs
othemjTnohcrkVOOhbM+zZJSX3mjYoNauNZat6In5FAeLIYUxZB9ST3OhQQe/ijib4bv3ued9alZ
SbxuSBDkZGtvXTOlD0EftlP8fKB3Mn0dyWhbpCreaRMchGrGWeSZd19lurEpi7RAY9SKxZAYu4ik
kqLv61Wu4r0ZEUNn58gN4K5OeHLSYm0kFZBgbTyY0rgNDMLzJjNCvWcZuzIF5mB4qVr642Dsx14H
xNFp37TSX3ldk0NNtgO0X802L/y3MCqPju8eG5Oxd+yx1DQn/+IG7Pbg+W+GQHyz/WmTacOeOJRT
WLP+RdawkvXk7PJiliMH8qstoR84sUoXncg/VOQPqKKLZy7plvkkLCFnHsNwed1aOnDA1itPrZ0I
evjgDAb61g5x4ISRfhdIgdqJ7oaUvdpeIlRoZunDKrLL5y4x6kUZtoeWT7Btug3W03g72Eg+Ha0q
11Nh7fN+vBkq+0lv2pPfxvcJj+MlZ+tjHkZ3EVRYVGU8nkNH7CmgzUUf1XejG9xTytxOVcctoiMd
xxYbLvw4BmZXB+cumHZjFggk9eKjrgRYJUum29GmYZh0P0OuinyeCgKJvWatgOBOh1K6Nwkc400J
lm8pu8JcEjXYoiNQV8gnv2HhPcSdR/5NE187iUR5r7lHCkt9q/mATUd2Lzo3wMrSk7dak2oz+u2N
X1vPvYi0Jbd6v0jGnHzMjnC+kYSrVJZ33SSXbeeyc8CU67ozL7wo2XSn/YOhpmInLK7OYG6vmyz+
zEZjolFxn21lXww4Ifu+BKKY1caekZ25gl51FfXoOhzMPEstt6yNqpKbOHQIA0rv8qw/UXeB64pc
/JBJuo5z/2yERbVxMmY7ShLkV9VQ86rCuVc6Pgat1r4Cw3rVzOxDM+19pUx6rrBltiOMT6sRj03i
+ss8zx9z1Rprw+8u49jq29jJX8rROtqiHEFIMpPHbu1ag3NrJh7BgHGjgbKKqndT4ZE2bNhbs92w
s6trR8wEypRJVz+916bxUnm+ufM1RvvSd89T18N7bCN0lDW6DATVxQJz9weOpWavue0lKloWt1LL
dgQejIvOTRPOWvNVOtalzYE0K9CsG2IG1Ar8ckLcpSwwsGmnHmnnGnLKZz+N1JY2XX5iEP0ZlASo
poW/7AEFkuVYsVnRqH2RX3yAr8mXekN2kBYo+xQPNj64phrAChnRyjSqO1XQTI4egl4dQHAaFwOf
U4xHzxxXsZ2MqzGJ5HXuqv2YB695MbDRE+SxsfsMIS5ytco6+XDcghoqSKa1XQSb0DLHnVPU1b6U
1iZF/buKXCfbeJQ9C87DaVsk1Wvt2RCuBavzYFsyPrmNBAh2u4x9fGFKW/ht7m8GATeNgVNw6xSG
3LiVvofvfYU7BclynnhbZpb4SJGCLQOaiAMRtN9S7JObCCzwwZAm6mLEmuwRwmIXFcX0MKmcz0aN
YmMjziZFl881BKO9sNt+Dxcawo3uscaxQRNn/iHwp6OIpxwwNrOmIEVQnM8Bfe7FE65zNTVM3aIO
KTSzmLPsonuiVUceiHq2waIZL7pI1ERqtB9OhXcoB7m1HTwgUaOOuQfb4ECKa3RuY+NMua+t0jLu
t1JOR9axVxhPV6yUzj2Gk7WZUMUazIshrNcn304+PNTrWRPQOLk+I0OCa3Dt2rj8vHGNBQO0y1TB
cNLUo96lb2UqzlkdX1JcpkuCQpx1UuvOorbkZ8a2K8w1i8Rgi11tbPEjEf6sVKa9SHj2i76LT4Hf
oazWtX6lqjpYlkF6LDx2v8mQhI9VlGEWDV4cBlsLg1sXXP4XbdeLbQoytNqT/E4cavOPwDb8NaT2
FL569tiVHjytGJ6QIcTtpEltJbL4WsfggxYuPWY1lYjFM9UWPQeYrn8OXoMwIrjygjHfavF4YElJ
VHEqFoldPOVjfRoKg95xzAnbAyTPB3qoGv1oZ6StSu9Lkdu6cJhmk/6wC5rkE8DWpunKdttAlm8k
/6pK8aglGrETx5xI2LpzERqnb36XvIOjXsoe71dSu3u0bvNV44XLxqkPU6OYoqV8PDlTU7ifx2Hi
eo4DgxGlATQVAOmC3v0SJyFfzAHe54g46kxfWCRUIeH34i2V2ysV2D4ewElQ6cCFcg6TDcG1k/EN
WNdF4Ksn3eSHy6HEL5YcUzYIWzNvP+gOn0I3YMGJ6Fdzc4TPxaNu8sAj4xGQp44lyzNP0JseaqUY
DTYkaAlZnWXsX0GV8FcmgvxOsLl1E5uwXSvf0p0wIzRmoq/KSUmS6ITJOdug8mMOPwHRwi9xyfuK
P80rWNdTdy68LMaPZc7VQ713zeigxuQr0u14EyrvhqTibTltG7CJhretx2KlD1eeSO8JWgWrZpHx
wTRjS3Y09m6XQsac3k1vzlsO3z0nvrKMjm1roEV8WNUbDuQZPK9ApEutr4/cPvfhyIqDWdqjLl10
4njKmnrt7YjG3hlIC/s2XQWeKW8JUs7xARexg1LbsnXxFPVlqYFFJIPnAFdL5ewgVO/1dM+9GGmy
7NdCs2OxsgIITSFNdky6QXooMWEvhpSGlfnfdvJDhqul2Ag3QTSRCrWJrXJl5Wm3CvryGfHOtC68
vmLsEeow3BPybIqLshy0ACbirqR+smJQIDmFlwiYEPi2v49c6w0UyHmISaiIXBQCUdzmZFZxh6Sp
hbNO9fpCMKTmcTJSF2o82IiNdPj85s+O2rzzWdb70VVVk0GXSWs1tO6pb2Mwmu7V7JIk2DZ502Hu
Nr51BcmE6qaU7zxbEJRmGcmc3kMTx9ah7bTPiTCM7ZSAwB17b2f13RlzDFyTOXCGVmJBXaNWTlB8
q1W+MwF3LNFV0pg2zpVVkQiT9uuixcdi56Xace5e+QoU2WjzsEOuuOt67ujE4AVx0i9TK6Mf1kGj
NahIkXVupUG16+vpa1rBaY5uUol70R4XasBpWSNi9L3+JLCxsS4iAtVOviGNRUin4wYa41MZaieb
xLqs6E+WceOwNoGSv6prER56rXwiZWTfRvFL67YP0i9RJEzaGtb74LgXyGNL6t7TWBmvsYRR0ghO
xjzcT6M77ZMue+UXfIjmMSvjqGAdtRJ/YC5erbzsn/KpDzF1J8eBHIRV05PdMubTtepH3BiO/ix7
DTZYeqtU8ZZKD4dR03Il+C+ZXUJ8j55yoob+aej/vfKmv/3rhn6bfRbFnyerGt/0o59nssq8EmnW
d+rQ9878937eIJTTs/ifbtsw2JGA/ejn2ZFrkIx+33fzTz/6eeDrngHBiP/ov/nl/obSHcL5nyar
THs1h5/peZb1p8kqAQ2uMXSef2PkAKY5tieJd3gW6JiiiIy1HREA8Mr+qL7Fe4ycJ5+VPRMSHyfx
r+rCT3lcpO8pS5+RYqE32nAzWgScL6SZDbOYadoXg1mtu96/pU39miMElghqeBwaW4HiMWxiepVq
q6GE9FBEDlLsBApJu0aCC9r7KkzUbTqLKJ22Zobl7FyNTEbaXbTCaokQl2wWFJhYB04GFVA8SzPV
LNLstHE3zrLNQujvCTrOAazDvvbcZ3So+6lWH5yH18irMnvWEjsvPoaidhaGsoD9rEdvlc6S0WQW
jyIqqW4mFlVg9wgL7vUdCN9jP0tO1Sw+TU1Ro0dDkKqZHn8t/u5VU05PTAyuiWYjbGoWs9azrNVg
JBBZiMbNLtzUs/RVr0MXgrf+5qGKRS/Qr6pZKAuV6SVHOYtVm6q/vCEgAwZoHtibfJbZYivYq1l4
68eoOHUIhitNMRQvZ4GunKW69L75Ej8FiMLxNrfTfYNTb4EI5tuYQ4zXZskvYU8suqH+meH4hkAP
qIauf7WGOOjohbH8XiWzgDiYpcT9d1HxLC8uZ6HxOEuOB7THExrkXBTqmc8TsP7rlJOBQeoqjiO0
q8kBVMZFzWLmGp1fswL0VxGXbBQdj7E4BfpOdEYZ4QtqU786DaHt7rPGszjx+2gbex7YR7R//rWB
ZujgpmW/hWBS7nlfpLa2APVviSD1LwEyXn+ZjfrAOrpkHNDbo7VllWplq6wbwq0+lvCf3aI2rtws
65680vF2wGe053/mm9/nmzowo78+DtE7Ivf/1v75RJy/7/cTEcg3E8xZkOr4MPiQj/5+IoITx+Jj
M9szre9box8nIhjgmdqEvtWcta26wfLqf3dN4J8I1fvfuejfOBH5Ob+IW4nQND3f93R4dNCj/oic
bDsk2ySbqXOnHUIQDuNd2Wx/elPOv7EQf068+A0z/CsjUQOkbflwk+CT8/f+OkTV2fEmSdrIs6n8
hDm7ZTf4ayLTKMxzhMeS+790hvR2KmPHO81Be8+cEEZ662n2uIy0fDDw98tlQ9JSFZHjEmRrx4zX
U6wzEAB/PY7ZOSDXLisF+Xs+WvTy0mqQSMdIX0+VezfEzQ6gGuyDnJiouNVXtlUd2KncCC99z8b0
TeAW6aTco5p/RudCOR9HN2HbrD0j27sRWyJ9qL/obcjlidUq48RCRksikwAEuiAnaFf11Jgd6w2Y
PJXZoDEvnkNH25PPg61TlweSkj+zxo8QRVgIZPLPQGIo9HIJY0ob8Lg09Qax5VXQumrlFfNiXM0J
Bq72PjTFgQiGnOFWcd/r4YGcvod64O424vYpzcdmGY3qo3Gsw2jVxaZK5HURDWrlV64JrSKwl0FZ
X+oY34hrQWEKR/M6D5FstY15mykEp1PfPYvEhLpAcBHPb7wlRvsFXIbpS2yUeLnLc1FaR1fVFmqA
Kl5kaZXsHA0bEbODcDkkXbGOJaR1vSe5w5LTk04eosnHuSg7cWcrgdTEyO5V7mPR9NIXUdXWwlBy
TwBVcspapS+RAx0aEucXml4R3+GFV2H7YSblxof9EefKWFpDRYeWFU/BhBMrqDwGTqF+qL2uXrW9
u51c+0PGiEDUyOLQtT68Jo9WXhJ/eTnlc2gRgli1/j1ary8rVkutij/jiiEhCPZdZICh0iF3lGF+
7o3mXU8S0vMsxsJwo/dZTG6c1beb2JuFYiZcDKtp1doSmr+0i+6MwOGhDztsK1mLhjOq59n1JRza
CpB72C2LABmLhbug5wk4zaez7yUXA3Up0hBaIr9/StmVwZ11vpLEf7X1dLacArA1hxSvaBCl10XO
3itMYrnkXHkIx+pSWLaERmXehJnrrqIyUlysw2ufZFw9qsIrrHg/yJ14SZ3g3ul5fvdJ8Qm039n0
tfaQhhl9Ci7WQcyww7BlfiW+WuG94HpC20BAh2vqbCWGANENjh+nNLB0j+leGjMGV1l1Fewk74YP
T7u6t0M1LagruMr9LH1ICUzY29OQnB1T3VeVwTNIfuYI/eJUZhjB5TcCyBhLM6RCKsI0LVUI2Os4
ebKsFssJORqN81j462E7RmNylZf0q0Lc1V3iz5VGVuFryVGD9zjQhTuUq9qX5bLJbHvBSGcZmhLE
sHltIb6nFiOXG2OR5N6c/c6npnSfI8/+jLWhWnCsVUzF9U2eSVyD45Fy9k0M3VG1MWby7iXsLKw3
k3lXF/oaC/ZdqZt7pYs7DEArR4SPRuq8NJ7NZkc7+io8www7E+V3PTXtZmLADXLpG81aRk+arNKm
Tdf4WpYp1mi3qaFVMeWrZX9yURPXVZqxDphWbEkUWyLa9MQTzGrFzdjWjznBOevAaD4bQFpGNTyJ
5tPuuBJ7x92YFoa6ZYB8Gd1doChik24UYq31o/vohixtq6o2lkmIE972ZCtPKUyEvLRwWU/QqPqC
2Mgs4dxapKUlx0WOo3LbjmW99DLqMs/MH9Oq2UDNe1Yqe2wq8YKgz7zVOns688CrNnVWvVWGvo9q
89sQeDeEN578zA9nSxVyUGZ+q7jqvaVIsniTT7l/b+XeeB3m0SUOw3e2DWKp0i471jSKFJstVqKC
ObPVRi+Fwaeoovs4LpOVb4pD1zfPHTlnjBnNfBPMRGuW3w1WLZ495NRwBhB376yaTk43ovXEvZMw
sh1HX63DGooXd3nzFPhNt7JaN99xN3urKmtXltP3u15v1ZbJFLmheTluVaFFVHs4LMKWiT0jOHun
WLHvqGUJ+mvvGiuam9Nt0s8FqghAyLFDmhz9nlL7udaHS2jXzh7a/HPpY7K0wik4/efHLpvTn57s
lA6GhhzFm5+4BgaauUn7mdbkZJ00PKPqziWhQo7Otv7e4be26RaS/0ZB/rWKmF+LTo+YYhQ1NH7o
iH99raYph9ZQjTp7wTpIH6txE4nH//zn/LeXmP/9p6hetAVZprpMnSU3JlKLRdS/WvLy//EiPo2m
S8WmG3PV9fOLNBGApaRQ6mzW91V5NQgIa/v//BJ//lh4q356iT9YrVsmuKFuDepseZe82kxkh1CF
FO5bMv6XV2Kr/ocL4NdXmn+Tn96xLOrt3IH1cK5GUrwKVlXGocsZnKz7/DAR1fSf/7D5F/+1yNM9
siygDmsQzNjo//pybZgMU93qig7oWW+RCDr3YXQc8396jd9GLyZV8V/3Gpe34n8Wn3Oqzp+7jfk7
f+82tH/NcgVuQ+N7ENGvdgMHeRqLJihDmIG4SX/MX5x/AYsy/i2Y+E6f/jF+cf41Ewj4vxwoc7Qq
fw885P569QMaQD+nY9qzDewGho1O7pdrsulG2yZXVpxcG+ZmhkY+RptaZA67d8JBNqk77gTrt2US
5bf4AnmWxTUUnwrxw4heIUtaBhlM5mXSgWdxGFYbagzY5XuKJWTzTnTRI1GwrwiZrkfCeSZC/65w
RtdrqyR7W5oPoV9jw8qTVUjONplCAKwr88PBJN27TrMMTO3W19B5KS+w2YjUT9rgfsHUGTaJkpec
4bOr53QVKQiRTrgTrLDq2eogHcS6hF7L9DohcpqWRmyKKu2YVNRbNc+6rcBkwtzlh+j7INyeZ+KT
Yg2/oiF4ld9H5sn38TlQvXmWXjZted9ViSaZd+hWuIKLwJoH1ZnU63k8MbJX1Dp3WY3murcLtUhF
cu6SEXB/QX5H6WFf05JvrUskE/3ZIojRNpntKWMfTdmDol+RE+53jFnG8uIOerognO81yRoGHX5t
AMrBXtfgvXOCpjlUWvFeGVFSo3iPSm2Nrl2HIZBbxm2VkvFSRK69UmN6r0WsRl3gNs0AkGfQrOcC
dwmu9vJGIkm+YocwLgneXReuf2OGcl9k5anRUUTU0Sbz3QNk3mcXeyfFhznuSwcDfGFpe/ZytHD8
3WuzpW4JgJ4ttIwGkN/nCfpffMCZDQuGtw+pHGUVuL38JvC0+8zL+k0uKVzoUo9WHuNea1UVP6YN
iv91nTn4snUFeMoYb7VmSheaQ8GbzCL+WmqXEOV4UBGuO9XmDTArAsaNHbP5Wztx90E2bdO+A9sy
Nau+De9bL7+hlt8agzGP0ugS2GU2Si6ixCZkPYde4Zb34IrB7XmPuZhQO9TNbujCe1lMV7WKL3Xe
PdOn7mhGGKZnkVw6FT6SKTZZFyh7Q+KBsRnQzDlFqWFnYVzVdclnQmvZ1/xuYgztNSEr5MoYZPdO
7tac7FejJjK70HCuddn1FAZ3OVzw/Wi34RWxeRf8hu+FaMhiv687XccC6t+GUbKSgBYKOR1qR3/U
/EQBVk22TVxDZ0poXknnQ5b7mndhTGntbCSJjAuzkqtIhvFSF87EFare/ABBvpaT+OVMJzZAN6g8
nwxDHctGUC4P7Lfsd1NqzkoLkssURrNDgchIdRXZ+mNWafpaMzA9kjq8jFNxCjR/m+TFCU2ot4C0
8N4HLNpN2AU+IbkLs8+OWcaX6T7Ve9di9sj3XthdQeo48pXTehhM5IAlGhkmtZmx0WNCW5yJcPe7
iFm0AWA+fEliY13YCRsqW/ua4J6R5vLS+Gqj/J7IFX4F03tFiH6NBkkswdauTL1btq25q0P5PLpI
aYycbBrWVVee0d15epXRYqpsWdfmc9zVe9UQ6Cd6NriehZ4i3GOTvjUKmI/j1F/bvYqWIMW2QVF7
ex8paJQyevDSp8RIr0KteXALqS2Y3N61kbUiEuk6ArKRah1zAYuWn88il/2HlXOroduKe+NmyPJu
H47QH5K432VGdax8446L5FB29AuYiG+Iwd30Lj1p1/XP8A9XEzraTd9oTITUUfj6UZgaWysl9tZo
7bSabTgChnxSOwXVEojWFfL7bZtNt22f0tvl1bVp1uxhuWQ94Ed5kz2QG/+KHuvGqux9W1ufDYz5
qHT2uhk99k18sb3mnji+bGE74JFsyL+9955qcq/nKG4mpgvU5Fdj+//YO7PluI02275KvwAcQGI+
d6cKVaiZs0TyBkFKJOZ5SuDpzwL1S5bctk+4b9tXjrCiOBQLmd+w99oFBFL2mq02niO24PFcPMtM
v3OzkD3rlDNZruEtWqpvDPG2qKorlmjH2HbeP67k/+0JF3jzGVr+dW2yJxD+v1cly2u+VyWa+Ztl
MP7EYOj8QeWJAJSDHKE78CH7g2T0oyohw8LC9G9btk5FybrmxwxUN3+z4RV9J94va5x/MAMFvPhL
7Yqin4poEdvTKVG8glT6tSzRo6zSwsHuLnlqRduyzGJPljmToptJDDOL9diNSAbcGNGgRpg3hnTc
mFonNMwcYirGtTHFenYklq+erjDRmSyjnR7dNjYyadWgM0yCwzGvM7tBvmBkMc5eJUBF7imBWxbP
c2P1xrXd925TeDbAECjNpjm2ktOzTtoXewbNN2PSgefHwl02g9syZosaP2kr9xzVarQPoSzxPI7G
Q11iqHdwwtR9CT/JSImv1+pxOOKcmLZIM4uLnaX9LWbq8VUlmrTCqxiFr4PRyG2G2vsUW2nJoKoM
LoliGlt8axESQo1AG2fUpxvuHqDyfTme0wLhvIZNx2uQIZYjAtOVFKJ5gedBnGmH+mAdoWHZR2bS
3YuxRq0QFeYXZ85cf4iykfke5BUsRn6mGPqtM6swrxedZtar0kBFxK7H7DrEf5Y6XRosnduUVLut
UWkszdsWLyPDVYAM89Dt6kDFSKNVoHpdNxLP+lzN19E8J1AGRS9eUyZAx75uw/3EYuZRN1sdkppA
S1QxlpidvL/q+/QLb2mxr11Lu9PamHzkhDC/szEitOLaji4T3AAvnMz4YlJy+i4AnU0yu85lrpkD
5HXBvGECthCxYvpC4Zid8Da1n/q87EHUJQWu2VhwGGoZwsmoTZEWBgxNZW3dMO5Ttkwj22s91isP
3UB5RHo0HNs2PaDgmblxFGdbm5N8H40o2zlVHh5kGVPcUYko5ziw1EMet4TXlRM6xq7rLVDyTuFX
IdpGA9PoSpoN/dks3OCQNYr1iaHlZ0yz4iQUp7rixw+2ClfHuS3Fcqg36tU0RwSVYdLfhzGqlRIr
JsO0arqNGuruoR3rzRT3chMOc7BtcfaG3r8n67cNEw3a35ysefXWxC/Zn5yuvO7H6coaaQkMw2X4
sVfnnPy+YdLo38imtDnYPsCxvOp7z8daStdtlZXPh2PpZ7qc+A1XBpJ3soW+BRL9o9NV/3V0A5Kc
yFzo5PSPgsU7WZi/nq52RN0ssZ2cpY6ue6ulNHbnygat9q7Oc2EyYCergZmujgZ33pVWmo4FS5KE
uZVlpLeBQBnjYGLcNdpgTyvdEl+oe9p16QYvxEbepUGaX08pzpp6tsSWPjZky6G259Ky3qPKYc6a
w73WCsBkCB6BYVC7wq0YbTiTmnmaUafslSLrWPKgDJ3W0kInn+A8uVSqhkgZwRdq5fSIMbDw2mqc
to3JDqOraUcyIhnXJECiv8YrcDGG6ZCa8ckpu+CYx1m6TRUXHQ2SAoeNCkHPIO2mrXRt9KRLE1Mz
2V9rqU3HKJmD1k5PQqChPGXM7CpLFgc76u81K1IZcaOKQn1VrUN3Ui5NYn0ZC8q1urQ1H/L3+5wk
z0isMKUag5bvxwA6SWUk0wPKQnrkJjqHwEj2fZS8deEsnlh2oLrGB7AdrKz27DbDTcvOGNyHW7hH
3LnaxhpV5WBUUj2ZcdH5cSQA8jUcKo1t3zjgSO/YAOzHaLpXKri3pUFGu+qUN7aFRJRES/AiqgEA
vmR3N6eo3Qx1RJkwpcpJi3rM11MTmU9DFSJvV3Vy6oNJ63ywZ0t08dw0VnMV8bcbIPLF50njbFwp
oRYgz074Su4a0xYID8clthhAvmLuaT7EvSL6LN4DzqNnGQr3KsbFW69KMunptHgTgiuX7htFWOq+
D5qbngTifC3M5zsg7HQi/55e306vv51ZHd+aP1ELaT9Nq5bUbM2C4AR78j/F3/eTS6hMntARmUyl
LN2yqSa/n1wUfx8L62WQRBW47Ky/j6sM6kJMQ6ptMrAixvCfuX/4yX4aaS7TKmbncLx5LGF0ssL+
w8GlVaGqRXN3seHDEeYRNxjnI5F5dm24Pr3ISxuE47ZemINAnBJDOeSt06M2t2ORPMUCVfpVFJR9
vUceUuWsYJJR3VSK2dtEzTTNeF2M1aXS0/geGSnO5AgjIt7oueXRipJnPTMpQQu4OJUaUG2G7AoA
2xRLgSqMGYLfx11bm+AQ90ag5Ljktc7O2qc8woBOHBAWbBSpem+1cbsVhYy1Q56TFHQXzjyCbLCD
hFUekaWk4ISIiYjKZr7QWR45RImvpFO9GetA84fU0jajrGdfJRHoE7T+Xtul7mTNG52pXkjMmjtL
/JloYjnbAwWpi1EpSPir2Tr3UxuVXiVK6y62LEZXiMjRyKLG8rUqSru7VM9gQcDMyq6ksCLh15g/
N1NIjMw8Gi4xEfjkk2Ylo9Le49fR1c2/j+i3R5Tb9q8LjGNchO2fVBe86Ed1AWnNNkyeRc3ChLLc
3j89o7pG98S02aIH497//ohav8GJcBybLs2xPp7DH4/o0rrx1NqCasWmNPlHrZu9bLF+3zosjyhF
DO5BQPYEZqvG8gj/tOTQAr0jIdc2LyCl9eYBnxqUsXUx5ZoXgfICU4MOLT63TqqTjmFJdHdjdqMq
OqhVPcsR78suXne2GqDLdRj57fOymb3JHkCA9GbLA9W2wQGQKQrwMivn9KbEiVfhyAMX8SxH0bEb
1y+TVdSesdj3Zltipaqj19JG4iUWkx81WASlXFlL/H+oQdJ1LtLJG/EGRlrwSLeBW5AgLowQ2YeL
MIX1vM4Xa+FgNhiLAGbb0lqXPaOOs6FMkBaBksRGHEDzyMaN2hF/HRRD9SpgaodAQAneyIO1VhXb
ViJyKPNkVyfKLob8tpJN8arqTULHRXoGsvWHOFS+iHNVTOfSAGmi27w92cyuOgvutdq5yRn2utPg
J/ON1lkP49B+thww2lhW3PO/D+LHg7iQBP76QVz2O6c+bv/r6pWb4E/GKcvLf3kkWaQ47rLj/RiM
/HgkyY83GGKAdGKSQc39+zO5XJu8hiUdsxbstDzIv1+b4AZ4GTm27gel6p8U/HydXx/J5QY22T0L
vh6XMD3Hz49kI5a22rJD1CjhqhXH2Ij+P6tGw1q+xu+PvYNYzWFYo5vYwGlu+KV+/R45pBi3yiZ5
CVN7X0Q9xichkmZr55IuQ1qjZy+XC9miXDNKxY2jdQ4mO5TlJW4z1zrbje22exDQ9blvFKde5x9X
F64gVW6MjytNrTTWO1irNmU1qtUujfJ8g3tV9eVyETYlcL+R8sZvIqPewK8nktliFFsM1nWyXKRV
mqtev1yusRJmYtEZJIpffNy/RTNH7wTfD3iEYgDIJN2pysbNJkMwPiA5Qt1olcGiKTJyVb8DmMTU
u6plfdOBdm7iet7OyuIsldGjXmnHCIQguxAFI4NLTvRQ+6yzTmNvaYQXKBcICp/MVL8nEvyuSedT
WAyfLDMHf2LVEFZiA5ODsQmN+hRFyV4Lw3SvNT1KZWkdRwRujpqD6wlLLESS4LIgXs3ldGAk/lRh
CF5nmQ05AclwE1vJzi2iUy/VVwh7kForcuKNAJOok2lvUVZm3uRyt7PUWXUuoBXcb/m2k9L0Cz2Y
j8SAHIdA8WWe7jolDn2Yeo0X6wS/zxVZO/E5H019E0DowbFa+fPc7IMmvo3MOvOTAhxlqKT7Zi6D
VQjTqGglAcxRfkeQ0THS0UEpk2p9mQZSQKaGyHHKz62s+KgSqb5BbxSuCNDxclITZVWfR4OTVUto
iVKshmy9SaMIE/PONCZoX9Lod2TgmYBmXeHlAewYderOtUVkAHvG/ZDKyS8z9Y1wqa8aQB6fRVN+
1N180f/QJt5UeMLYBiyWLY1mEkyccnDTRANJq35JlQjcqHLpNPuhixQ/i7ilnKlBY0G2lK6d5ty5
GYpi6ybCS5pg02oKHumRmPpM4ErvhFfrvPFmYe9adfiszdB0KvIXSPt9nq3hXKpYcGNC6M1MvZ75
ooPGHmOhdhma31fKi2i1N0WR+9KYTzppQoCTEWiXznywcwBYZhJuGtt8qGeNtZx8HYjEQsDVsWBL
T6aYrsMAJSU0dWsVpDgyQvGks272mlE7wd6BcmlcwaSYQGyuo7nXV+Zcb+1IuXdk+2DgeJFhCuor
QkU1sPrEvoYOaYiPmIr3lOs0iIP2qVKie9IoHki1I+pz3Nph9S5seahd5SClimE7sQ514voZmhjA
V62nlxrlcm90t8aYHPj9jibh8nqvJKtJz1gRlqwhhV4ll9yQ6U4qucCDj46+JdiqWctpCh7oqNNb
yTh2JSW0NgO4HdTjLvJqhdDcJAO4HpEftaoFyviRx+I0gB+7AE1lt5w1Q4AnprKWJ4zGg4wztxs2
Th04r+CuCMgwrU9KK6zN0FqXICLOKsiqYdUZLtjTSE9Xw4QuilkgYC5h3nYqtH29hr4cDljONC05
gk++y6sU4vvIZGWo2nBLNsmjZd0l/OW9uldmz15kpY6eWecA/fxGzlUMbKl8NcIE9wE8Nx459sOG
eY9ZIeV9nFI/nMIT3oJ5NaXBTdqVr71010kAzjYhJCtQ1LvA4q+sV88gbJA4Jrsh6d7h113RyyTb
EAXjSh+zJ8iU28iyn0l1XUGhg1cHPHsVwAFddW3hrJIFBxLg8J/idZJhF6jFV+Qs0q9q00uK4QnI
nW8aXcVKtH9uO2NbNfyZ05GKyP7MqOeT2RefTY30elcmdzKbToU77rqa2ZAyJp/DaNrHI4+olOcB
Hk6YB2QYZ9Zt181XZms9yci8lBgiHWP4PM4gaUeyNO152A4G/DSpLixDFtgQCRj7wg5JLN9IEBxK
1IgY7ON92MpoE+lFiYveuiMDhHcwY8MeFvZ9PcSHDhQfyGv1iZvgWAdEAChxcR3Hc7crk/CzOdUs
UdVmZ+b6huPGU3p51gt+e0gEJweXeZOGB60zn1z44sFcrisnhcHl7JjdMhgPcsS26Jod8DUgD/ps
hgzRBy9qlx54r714xjbgCvdg9NNNixKZgUp7SFRl15jWc8CSjVy1lUFgDUmWHpKOmVISJm0eR9eq
Id8DdYSBz6YN7gJbtjk+w4b066C+h0owe2lR7oYQ/ILj5tMJ4RiAVkEgW/xsBeVRRRHOvKbstkUO
kL00jPEakVm0cppQJ3OteURhF24V1bmCl4pxs6jrY6vZ4bqLZL41LetLTOKuV6uh8jhWFp8XHMTE
y1XBSodH9pWq3vaEThuMIEGcx6gNvi37vsj/E76V19+KjZ9l7b9ONZcSxDV06CBUISynNOuPnUdq
anleBMolSR6s9FPqvhqm/1MJ+D/4Fkul9VNzM/EpttKeb6HC7LHsq766QkT799/jD7Kt//waIFio
DXWEQ3/4NYTop3x04/CKvojD8WoGrS/vFcX7+2/za5/27d0iQ1AYgumsYS9o1Z9/lRCuvm6nQ3jV
s8OocQm3guewfuiN63HQVlbbgF77N6Pum1RM47P4163E6SV9+5OWntd87x+EoElQMceBNeea1Kmu
f/QP+m+0+PTmOgtRpus/LQxcoDuaUG1h84/qR7v/vX9wfrPYxjIjs3kOlt7in/QP+tLa/FTd09Qv
4wQae4p7lUZmwbP9/GFhVM6Apy7Mq3TIwqMS5nVwJ2VKij3Bj6k/GqSrTDZQyhqdNcS/bG80CPjN
XjF3aYAqIJ8EQsdRZfCeAETbShJFVoa9hGPiIXdMDBljEjerlBRnxU1I+56DmpNb3Vo5mE5EvVt3
dt7MBKrUMAHsCahfsZZF4bEAopwAU1Y+qMoLX7kDtCwGiMvZwl5uFwrziGc7A8s8IzwfwTTXC69Z
XcjNxHEM6wKYczdrF7d13+D3gGd3ruba2aPjvQMB4wPPelQWKnTBUVmDiabBiPfgzx+XsgL0GjI0
8yGMIUuzb4lY8EKb1sBOsyrc6061SdSAQit76Rc+9TSQMpV2MKuB+gAfA2PNvp1Q0wa7tw3iul5Y
12kjsOJllxp7NX728FyDxW7AY3ewTDveaPgSRPOV40hiWXXIF6Z2XnY7E8i2isDUXajb7ky4VrpI
5CqI3Lo9HWYQ3U4T3UwLszvqkn2/ULzrheftTkxUFsJ3tbC+KVN2rIefUoadLEHLtak38zacCJoJ
q+gL6VnNelro4YU2+XB/D9nCFSdV+1IspPFxYY4T2/CpCiJjozfvwNfUnbXwydkVcOmalscI+l1Z
GOYcilf1AoWbF775YNf3zkI8V0Cfw+q9ycJ2R/gptLCBS7GDkm6GRcqVDzl9KuaDA0rdpsclXRy6
OprzJwPcOhykZ6rNmxppOTuEp7GiImwAtJNrA4ZmTGFotlSUKBxTLlJAEgvXHcC7XEjvtHIUjFW4
TYDATwsNnmtna4OHn5hQl/ATFnJrbLWvAyLcE+IA1iP5YvLrMFxl3rhY//j9YQJNix+QkDC8gQMm
V5tixIYOlHMaeKhDsVHUAS9Ol3d8xo+4ioOO67qLt65ChU2lTlXJRIq6fFCvZh6Gm8lJbD9VHLCb
RkuJM4qDrif6GoQCZSevmeNKgdSG3MaWaok6b8BXia6SWCNtwrOox3KPp8RcmXUZHxxHzozPzXED
yqLDpAXtRx2G7QjvAu7bFYgSJPFCO+skBa5oVm6w7YZemyWX2qJGFdpnNBbTXaMp6VNBStUKGl97
rbO40YKm2jgks64aS0+hBoSrwYAULIuKOD0UE3SyDp8bAfLfLmgOtLEfKPMNWo0S5LUynVOBeNHF
DdOzMVv1GTYREbevTa/4GrSn1UCQXmHRrBimc1Ac3TxoYeZ4ZZXAgse29SxYD9BzIbsnndVaGcvM
DWkkxA/yn7ZKlQGL6mb1S62JxyTPg61LGMJmbEbHL2bJqZRmpl/m9GotMVqM3unQNbH8fQMrpzUL
UGtFfjaOl5gnCnJef0jc5iYa+a1VxSSmsjxqk+5Dgew2pQsJIJkb9Aaus5YR9Bbd6fkLzZBo0B4A
KZu2eZHfRGZswO1Gcgsy6YhODslapfqxmT4BivB7pb2b02FYZRn032hsNoWWntu+wf/c5yQI2w1I
w2pn9e17qAeRZ3J5eNB8eWBxsYizI/P7vE2ykxsN17AQW6o+uLJ5iaoxBBaNPuQzU9TtaFTHPnDe
ZCk0vEH5oUtHlAWa9G2IPx8X47+CrWUO/tcVwl308qdh5MurftQIDBKRfmsOLgiu4F8i66gRQO5S
JkCNRzfO9fyfuT+21aWkYAxiOYZKTgJf8D81AohU5JuIED4EYLzc/Cc1gqn/UbJFHgzSbSoOalbB
0o/94M81AtYWVa8whVyrmQ1VxujRQxnjJ4ZeHIm1clVFtMQtXUmaCbnC3L6rJzK+8KYj0ZXOW9kv
DQuWoxSlNCxwx5t0VvptOHMp6Tsn67dWF2xyqe3Gkf/mpFyNdBzIdp5aEy5fzEJAp8NrZf2Cles8
df2bTf7j6Oob4lMYJWjVuZbGFxj+dM0udL8WFhoRk/0uqZpd47rHlvkJtKztDDGG9UW00szhZIny
wR6HyyiinhGVEfvRLF6yRt0ycH2M1MHc2gHUv6rOJ7/RMpJayBSDGt0eTMk80QmqI372nasnmzRK
7oKhA42NFHgzVPKmQEe+ap1qO1rAiOArqUfdFmI9OyNRvQUYWSW3r1w9+ypipmuTgFwaw3BnbBbc
N1n5nlW99NQC7hjwk3Nq4LaDO89RO1QZN5htrjHgTez1nU2qAJgyOyZyY/bQmQ3r0ZqEJtQBUcNE
rXBcTPcKWg2zO3Pg3tdR74tO3sQyVjb9MiihN/HV2XkHS8vgThQ3MipQNzjuU5JotxP4IcCupQ2x
Ts/Xk6Xfz3n8RKEIimlh0TgptU4MAwcJcFKr7y00lF0yoysTcT9topYoOVZIN30XfY4Sfv5wgoYw
hzDbrMrY9Rajk6rQDQTR/VuZpHul5aoNG850KIWA0Ug4g26Ac7ClKqL6K4voEZnWrWwMyTkKbHbW
e4jfdgqEDaxCNxF2PBK/R4hVh+IgTw0fWRgJrA6zioC/e0uUAlKwlZpXT1ofn7okPjWxG+9RPTCA
tLrYM0RBvdXCP8kVHcdgV/mBXl6KyD0hQIMlAMaF2Wd8UZPyqU5qRCUZs8U+bgBdF2tr5AcdByTu
Wjbsak29FgI7pAl2hkSCYxP2+7aoHnpl8Mu2QFBbbhGxuRiVUfSF7eBuDGtc1C5IUhx1eGT8AR1W
YOOTPpjsiekMZIzCIl164reCO1mS50VQ2HDnpNmWvJZ6vnTDOVDi7aS66BaLK80srsUQ7JgRXSk9
E8KBbZPImE720Iv6EvK6WPIgrARNm5LHxBArUcDUDHhmwRctyHpeO5bImVb1lperw3uUSlZZuW5v
RLU8qmn7KhOmAaXzbpOOty8RVq4BKLi+Vpj7SGOwMqMKbxAM69gbC1f6TAbDjSl16F3kK1AeOfq2
oQIIZdQdAHol23wwvvYmw6c+Sr+W+vBYz/0X3B0JNHaUOaE+Xk/9Em0Tw/GdOqvbcBzBiWc2JZoj
VOHuuOQQeAtEjzxAvLGrIu/2ZpEn1lZnQGg+DGoKYD8yGiayxlTxLNUFAhpbNvPG6UOpbZxCMSTU
T6HDFXK0ibwK3ZzjCzr2qb9z1Vzr7ka3UfQjrPTyOJq4JR4b0PnDVdpVO4iO2hpiRrZh+Wds49gk
A1KdX6B03LZYVsAXyoNhFP22URrpO4p1NNlxeqhzjaU8+lKXJeqIzkLTnRiPZGU562hgTq7hZD7o
JR9mQEgoRzEn0eSXz1VgvGAiEV7nJERWzyQSUhOsdSwl8BJH5rwqZKuma6C+QXyfKgDtsYvus1LO
rBxvlKA/wvx4HuIRQb6+JgkpWbUae4mwMrEK6/LAcM9UoTi5dvUSp+WttdiMOrFkQ7KSRhU53qki
uQSte1KS6SmLxPtMaCTHv/meDvmnQo09ZT6ISSaeQeBeEDa3qeToUSOieaUnsRZE9llNM9VzZfky
hjN2b/K8JPzndY0AfcWH8WLZ6exZphtuVHBtLPNoVGyT0EvZn2d1OrqmDNa8CxXZeFS6LfN4XwcN
ta5ID7PdGI94wxCOKdM9EK7ZDD+LBmsOoY+Bh1OeoWvqjnxziOBu6u4gh8ItkBSj+kiC1ejI8iqX
1bixy/FUOZ1Ysb+Aw6XZV/FYnMF85mtZoYVix9HmLSlC3YvljtMG4dTdxC5pM+cEcMJCqdY4IB6C
vm+9fiw+swg/JErKz9jPjz3V6JanjtCzbi5XmEWVdVN2b63rPnBAb9UqO2G/BUQa6jus/A8MP4mJ
tOWaMIUFQXk9ONWta5avMRcdKxD1YqisEEyeu6EwAj+YtSWPu9mHCknpU0e3IEw0Ibg19645LXsp
3M2OqP3WZNcdG+0VgQnXVCJb4g3Jgdd2WIEB3/aCD2BvELytEpVG6FvtuWlg+wrr+rUNWcojR80v
FEXzLRE5e7Dg7pqYryuVzo3hWHfoCwAKteUe7FY+ZDhv2GNxCXJkbYEehliStWNGYvca8nRIB1Rk
gLrFtaXBaVVaJGhdoeb7WZBKOkBUZ91QB+vE1veGEV9HffJJAW23VQi+Ys5Krglcgt2cCx4J07kW
zTCjJdBzzyrlF0KvP+tmfQUh98ts6F8kIeBVaz2WafhImqnldXq8D/LqUS1huRkA2R1x1BOFdcyU
rtUsOopmfAnzzO9t4Ngo5QiRuoHRDSasU2EKLIc43QRnfbT+t+z+2PFrTFf/uuw+vbTt258p4njV
97KbuKjFnGkRUM6s9GOx/WM0R0W+/G8qb2S0PyvivpXdC0dbhScDTYGp3ffRnPsbw1aLr8h87lux
/k+cEvg9/zCaY0osqPAZBBqqAZbr17J76F3Jns0arybUK/YmGgJWRfA0JwTxcQSbLzh2c8oMf0qG
If2k9RrrL4R8cbev5niJNbdwBrW47udNIkU3k2NULfEAY8F0mg/xCHgkq8iKI+8N7xJ3bbOTlha6
798usqltwaQw3TcCLyAh3vWyqhwt0v2URXRWW6GYuQDTEajkXOK0JnhguSRzEXJhGot3cxU4H9r6
lBv143JthtAwHzKNfKYtmSx7hHvc8oVldODyh2kndS7x91F35DZMcChswjDBt01GlooZS4YHJXCy
1xiklueGsCBWUzUNGyXDjzFgeoRnizRZzVkvIucxXwcTk8Q85+AU1EmJmImEhm9O0bs1KmQUF847
A0Zj1eUhGc4V/1YpCQ7NoQenx0l+jEJgmc4yywjjXKyQLYdsFBVEPTZ1poAqBbeaI3zVqIqKiImN
FwHF6s5pUGJwERYvmrNYD+YyPFSNkl0bUxat8Jy6PhXrW2rPpq9npD6zFDT8tuzijUqcPNNSG4w3
kQ3XmMvaNfHHe4xlYpXX9bhxlJLBqaO/RdD9dqiW+Fgs4cs5moINUgkCjS3ltUpJE7PmrF8z1KKq
ISLbHoPAr2g2sIgxb2VXShpN1gnbL8u8PbimmnhCiZIzPzMVFUGVh3Qc1jGptx6jaiYt9jjduG5g
+qNb5pu2j8wVxHQIsI3hrMY+AJw4N/yYjv6YFSnlW03KddNQjQTLKV3aGYV5BV6yB9LgA2Svb6Cq
UGOFY3djxwwC50mruVkniCeYIrLtrLpy0w44iltDVhup2f1ygdabQBbpTss4MRFW5rt/j81vxybb
oL85Nsv2v/5vEb5lb+2frDV46Y+zEzUx+wym/wKF2i9ZArjMXLxnbKDgcAnWGD9GFrrxG0IiIBk/
dFG/n53iQ2jMsWrCkCdw7x+Z33/dFy7LEfRVy7bFtl3OcHX595+WeQnCA2cs3OTS55vZxHsd+Ub9
+ac35k8Whkw5/nA+L98Fn4WJLtPA82H+Yc9Wk7VMD2Uml65M4swrHZW8d5fxB8Z2mvREx2taMlI+
2aFToECIcOHPwXFg6n+rVtFNFhO2ZUbxaVRVVhaagi6FvNRVpsXqWg2j/SjyfT9E2EjdXdVrJ3Ue
b2hFz/VcHiXe6LgJD2qSLjqNkJx2tXa39nK8BD2w0Vi4XzUJnshKc/6RxoJxYv8eo1+G9G/RezdL
R8YIeqLDIaUK/3lgHUZlzv1glLbXKaSHJ67AZNbP3Bop9dS6EcanQHdt385M/VnkpCHgTWX+qaaR
tYn6uqK1mUAIlKUG8cUB278LXejb+ExBqjLQdS7W1E5MGAGIQ/hzomhFhIrufJpFTSZ6LTK/UWbL
9LVyhI6zRhim2vW6N/NuClYqCYpXDkKPM1+/8toYQdWCDCqVwncYcnpWzyoAPxq0eduJd3pmpIce
u5dzzfdr9WdzCu32KKZyKLlG9dvSbkx5HWloIWomR0e3sewDWKnwCa+P8RlbLjr0bMKs0BW9sXcw
+TVr5njjvHO4kRlKjK37wEyBmAdU2BvSBxZjsIzWWU8sQR2G034Q5nBx+56cXt7zEzDt9qVlvyUn
OoRJOmLl1gwd4DttUO6jaCU88BZGGAoBOkW31NxbLHDaivkxTN+JFqCscqyJqeGRBo5CPv7s5Eyz
+NMNnkVHtGk6pLBoWigCMhkfLDIFNzaTer/rMm1duIFxaaMBG+9Ut76lDzu0V9CspGhvQmbr3DD5
mRjTM3TvYps38Y1RmnuHotkLrGxXxoTxhbp6jTX7DsHU8ADjyHkHrMZKLvWsUVrvZdx7Zk5mclBr
96rSb0OrI82vTDeukm9Th0G5ZGHQWtXXtu2gcTRvUzJ9QjjrNfpwcFEesPzEWjT7hlTPkzN4utvt
0ECeZrhhYTO8qmbP5kzZZqPG/QMGv5++FHiVw/JLoPaaN1oZBn6bzLHUHJ5MK37NZsvYWG3aHlia
LNqU+SRysddDcbaASox9+lTx52s7nVG6Y2+CwdqSJbfr1flJBu0G4YqgX69XhC/jImwLdZ+Y0Cq1
iRm8bV/zO96aPaYiSYPCigzhkTGo8TkyLJDIgbjpsqI9j3V3DIXkw9xpflbTS9MY8SnLaVJ5iFRg
EcJlfkQkgVPpJ6Z+n0k0XqemfdeL8KaoqxMe1fUg3FPeDzeRy4JOVBsRkMkRhpKhSkqufETSc9+U
5Tps1EuqpM9lqj2jkjyADziWmXNIeu1mHjUvg6ZeZtnZNJJ1ndXTcbZtajGKBIdsgDq1dz2DNMzw
8SqSpLbN48Ep52lfz0VxIN3iaz4FNtm7BWLDkPA9hjipX7sMypDI3c4TGUt/f/KSPPPfT16sKh/M
Rjxh/PfX8z2aNCIkrQxUcp2KDWlJ08YeptTLyZ04dbmOJHUA9V9GOVXT/KZVdXtT16l678xOtiql
vO2b5KTKwEtdG+hI59eR9Q7rIPSqCmIcOZfEkk7qtpz5TGdBDFLebNcjBenKYPjj2U63g8f9SkZJ
v46T9pPAebeBXEUsoQpGLivWY71u5V6rGIt2QeFrSeMLAhIzQaB2bn+dsvwOgOGhh1U/t9mh7gGH
VuUJeZbrd+MEfnmKdwJl1Lol1tEK4DhHRuKH3H5eq7a3xtQzSoqsgxq5PNc4SoAZaowoG/kAacAA
vsHWVUziymBEAiHLwmsXp+ehmi9Rm+zT0fRNSGtenNX7oEhdpGFkAuQOPTERMmZYnbIQlIZdiKsY
DEHW5zvuNZiGFSPbcmq3ZdJcpUl2a9iItIZiyDyrUOI1VIlV0DTXsd4OXj4zAG2a5AFwARpS+f/Y
O4/eOJIua/+VweyzkTYyE5j5FuUti050m0SJEtN7n79+nqBa3RTlvgZmMYvGC7yQoCaLrIqMuHHv
Oc8Jz65q78OOxTSwQB3mznFcylgE3Ckp/mntMUpHgtlJdXTNDVOAI638T7lrH9RS7TDLKZ88TUyz
AgWcaDEsx+SxbZVC7mXNIbTFg64mK1UdSc5gYjmmukai9xjjJ/dPYDm0BehhmXoTORuSFdo7iBr9
Hq1+dUyoZH/DhXqvz6ZEEEDnSFYiaANlzrsSgVlgj388JaEA9aER7Sq9/Y0++zuxD7wgDfmGawmu
nHQkvn0UDIGp03F9/yJB46uIU9iGm7C4rvqIlUBouihRrC5/8wDq306E+EXeveo7tVRb0Mw0DUU5
qmN2gx8VjQh/4FR84HZH5hnGC3pt1r3wjG3XksbUDUBTkqyX8Q5hPkeR/ZAr9iFsTHUOMxIQTa99
dALUb6mKxsuBXOLH495OzEfh0RPVEkO0rKYsZ1hhZ0uHbLWFVkC0Q3w+btvBNj7mWdSs0I4YyzAM
nxPW6rJURbBgBx7pfwp1zpX6pjUlQUaJPzAw1repDxZ1bD4xi91wKN3WVbUSdV/T9Yo2hhoo6Duo
UJI+y9bj1KrzkjEOmlqLK1Q4XOtBhks0JGHZ8MUMaPueRf9S1jRW6yLcVqayQY1xO0zRvanGO6vJ
0SlIKnHoGXjdm5DeZWtt4ynaI8hYZKOnL4xEBZboxeyy6n2ngjMJo/ToBMM6q5greRMrWF3GjZ/i
ei8WeYRavJgiZ1El3rEgvQbG8UbLAcE4/nCDN40CrlBu24aQJsNo1PlkN2ulCFFAt/lZ+OWxUtOr
Estc1QwNzd1dZwG47yyDTin62ELTPmRjsBk8mrFd1V4UgjOSRKgt97rPTqm2c1hHtM/MtV+YBxva
ym+W2+/W+Lv5Y29SYugAso/RIbv0L5QVDJU7QhC3AHcODkfP/FnvZ2gDjtlTv//1i8sJ6xuB1Nel
jq8IS5aOAVL+cG/uEnjmHBLnTeVI+t8sO+jzYtWCiNor9/ZKXaofTsr8cN8tI9RLZ/4vuRgP6mwX
rrwLggHT3/w03x58X34YQ6W8xGLONcp655Ic6bPjHZNBi+plYZBBqN5X3Zer70/Flt/uWd+/hvSD
vPmFJ2hIShAkAYfrZ7/auOPVr9/RH/4OcNEwrJlMAIx3n2Y6QP0h0JjDW7ksyUyuLGrOLzvUv2ID
nf3959f3Iyfh8/cXd/lFf13cZdMTwD/nEqwZINlv9IiAsInyYwTN5/LFSPi31sDFtORi9UVwyN7/
1739tR2KJxEFI0Gu6AC0fyI1kJLHNw8bakQTZRTwGg0SiErz4N3aKPPSbJwgCi7LNkJdjcSc1qJl
nzR6VhVZSK99R0x6sgkJXFR1uQHK7uTIzlWtMM7I8dtrBxM6yoY+neGdqXkjdUlkRaLsdUKEvJ0W
RCMGX3YUzA5xFqbADMyg6EghI7AAXIc1JWSD1a4nO2WZDXC5GwUK8rZB2DOicGjJpoNdj5/C7mWq
aRJZUIsH7pKb0q9cwoxB7s5E2SfViVBmCrHWYEyx9EmMpbnngN2aGlJTrRBu0+sn/u/S19iZf7H0
z58+V+fv1778qjdrn70TQsYrDhHd65u1D8vRZPXBgDeA0EgJzld/rf2HTRuJCAuqLPyvbxv+4g9b
anAdvsDQ6AD9Iy3ue6cdq98B2QS33UDsAy1E/hBvd15F1cZabzT/5LkpnRxSopoazkNCcJTRJPdF
rJAFi5RhIlrKlhlTWepTtbYbvIGfTZlC1bsWRUEPrsNO9gPMjtnkRtDJOwYDTEVlqTJrZK6VQ8CV
KpOuvBCDmBkWz1pbkFDhtBdNy3LXukdBTJZGXJYlc7NCP3gSbrJQuDffUcWqm4yLi5/23tz2rG7B
j52vWqK48pBMLuZwj0w8s0Up87rIDaLVrAhzRbrnS9fXn/Hak5SDgnbp5EzsaTDc5HFwRQ7aeSIS
TJFxH65MCcstmhkxwWGWTBBrSeqZFSTWzWo7/+gQMxYQN5ZaKlFhPb9iK7PI6kK7VAgnixL/SNrs
PpKpZVFlkZkR6pdWFF2qmTHMwjBpmNo2wzyhsF4LE8tPV/fPxG7BUkINMosDh+5zYGEUVqPbjgg1
TMKIG9Sm5FdK7ANs9ZuawLU01a7qrK9WUUKIoUIoW0A4W9AM+yIP1LmNIUJ6O7a+VmBoy1EFYjvK
Z3lrEcMU1s6CHNPpA4mf2cYlpRkstx0hxCUjDlhCtCJx+BOTkXHnd4FGJJSKOlOmyxm9oywLAudE
SfCcicxobD3vapSpdAHU9dXoU0i6SQo5WabXZTLHLhfKOpdU7tDm/lY+4eIg78o35CAooC/j2+Qq
EYxny4Q8k9g6svI8EvdKUOTshDOuhM8oCAjukxl7YKTSZSJz9wYC+BK73wq/Ko6gxolp8kE+w79a
RSG5fSoBfqGnNctOZvrpenlNzyNY2Ii5F5FM/sNkY12oMg2wgiI399vpua1UY1bULTdTmR4YyRzB
ViYKhhHZgtPoHJH7ugtnEJ+rogPh7WoXWd9kc6NhKdPOGLBohWTd+bRkISPeZEQZdrYkGtI+QJhl
J5umHlAx+P0Nkqt669HwsE1SEfsU9x+KdVS8MjOxJDwRfh7CDzMxN6ShPOIC/MhFf23LxEV9qI9K
qsjzyYFoTizjFJQfR9cc+fDt0l5ktSuuUG435g5vEsKzGYs3XA4VvDyjJ5wyuB98nnk9dnL6hi2j
c3tYjUZjXNp9+thnyDI8J2SaVjfY3KzxbqDVRFMAaSj6LUBhJJblOUTFOM6JHmn7NSnZS7qjqJMr
xPda4Is94Q9kc3O8ogzJbjFtnipRYB51ERrk2UvYlDe6EWwz3dl3DrCaJtpPU7DW6RkFSnBUI9Tk
+cg8hwONcVRlXnOYdcSGlt2qHLS9Y9DwpA+yBb+vL2k7P/auv6l7c89s7EU09qqOCU/ISZnNvXTc
5cp41uX9psRZNSuHpofF34kdrqyVM/gDurvIbpr7zC+7fDUEhTmRWVDlNwZn7h1dnJ6mnI5ZTqh1
V20MgKtPfpxbu6bGY3qZ4IlGV1Aq5pPnC907RhaGhtSNm0XrevcaTTkERzpLw5PCC9bLxszxQfYR
ct2edbe0CvpdrMLHFu/pBNcIAZvYBGLykNwho0X4ga0r966caToNWdvMQT1Pc0wUl4nwuWHCi1qm
Rcj2hBQJhXL04lf2VSWwKyhwRUfs6RsCMZK5XdjXtDdppXV3pUUUGU/x2vGAf7gtxYk6XbpmuG/j
0ZoXhXrWBvbxXAZ2w0bQ8AzDwPTqTZkoIWvNO42xqiOBIvgDcSTBxQxK420m4+hqIzvbeYc2R0fs
ZZNZF8bRR50MO0i+Hwc4pxmm4NlEyp1nEndHKzpGqQ1mdjhktMwxCjtI4LNpTaNhrXQOofSE53Wk
6AnS9EBs00sy4OuTs6dxV5lpMnovkSF8dtrfpDKWL5ABfZWM6ssMHJSEnqazSA9Bo4BPGUn2MzpV
m6c9Iz+d1L8wshg8V/bBK8rLXAYDAt5j0IL2vwz0C1OGB1o+kZlVRVgFuYLYKi9zcgYVEt7muSru
I6d7jnqiCHu0RL0MJ6QdsfcIzbBKh3FkeEIqlc518gwLGWyIimwVuirJig7xrUQfko/oo4LLtVmL
pyWDFzeHxzvLRuiidGVtF82mRo6i6Nxq1ctoRQNjbiTDFjFvCP7DYVWRw0hx68/bEFtmSEYjdFz2
Z1wjcUekrRLekF91Llt7qzMQjUlH6gh7jA0+apXYp0rmQNoEQqaa/zly3Y1FUGSu8K8e0ZFNR4gc
UZKpHvxbT35xdhmUVz+vJyUkYlWds+ewfv4RIoIv/lpWYvFizMltlpEjijbJSPpLR2LAhIO39EVF
8iox+busxPAJGc39+6u+6kiYrXKfsrBkIS8RmMf+0Z3q/ZWKlzcJOOJ/fFOCjL4tKnGbq07kVRNu
w/vS8cjTaH7TgpTf4Q0gwlL5riocKGHqrs5LvGsGToUniqEwtFM9KOggVha27tr6RJTDmw/gBxPX
d42J715HNhbeNCZyhT5+FVrayZJXterQ259+/QL6u9bEd6/wrl3rayUpZfi4TvrAqNL8YLsvHFJz
VyGFsmPLpFfZPRbtpg0vG5gHWvg5Cla+f6nnV0124/cSU7cXlr90MDj75lUb3fSEYQzun/KEn/Zo
5BD9l+85t5y374URKl7TV/K9AM+AVqMs7lvGBIhwTj3ACM9jixlfbIVxFX8km3T+67fq1Rf4/kPX
YI8IXIPkj752iN98GDQGtaZT7fEE9iPUkJhUKA9xpDY4x8yymBM+lbXbyHF2FYJtq+2vtaQXSI/Y
STtVmeZYlqA1F63aUV6qu95t0Nwk6YOeGrveU0nJ1JVI+zAYKaiP2I2Il3Xw9kTRkp10WwA817ty
pTUjFPAR2f6pE+ESBcwsB0/XCpghg3uZ6pfwPlZe+1B7CTrt29p3jtylOJDJHmVcr7OJGhY6+okc
chJRY+s2LxAJCwNefElSOTGnrdYebDVd9sVmLB/qKJ2NigH9NdtrjXkVRcdoSNddhpUA9OysMCYD
J9BtA4kPk/os6ghtskLfXGBOop50UsqfOHlsqBfTdGJYbXlMKH3z8OtP6HvXxrcPvvnucQGhSize
UE8ndW1svO10aO6NtbOtTrg3DvBb5wTPLtz5uDLmu2qXrvLF8KhscSmt1bU4Urd/oQ39dM3Kh+f9
inm7TdB5ertkTdQHdiqXLEAJDPgZGeL1rFyV6m+2I7n0f/U67zY8J0ynJIBifiICK7kdPpU+AqY5
vkXh/eYhkFFz373U24fgXauU4KOkMuCqnAJSFC7BZ7TDHG5dXy8xK/qn/ne/2o92QBqm9Chkjhw2
8m/fwlSkg20z2DiR+EjE8cdOufz1ovnRBvj2Bd69d2QF2Fnn6/qJ0V2LG6VXGGLGv/mAfvci73ZZ
d3AFlzdexO32U7lrxK0unn79e/zoSHr7e7zbHkfO6qpKLf2k82wPSY8g7ho5kBsMX36X/+1u2zF8
rvI6f2n+S37n55w8Xzomzf/79q/1l7/DRFicm/M3fyFvGCD+VUs06PXnuk340i8Pnvwv/3//8T8+
v36X27H4/N//ef6UAlAN66YKnxuOly//tv303//5p/GdMubn5dHxTH7dj7/oTVlEY5iOMnMKG33t
t2XRKwFcWKTz6ICw/u62OX9wjMpCBc7cn375v8siGZ1owtRi1okk/R+1mrGxf/Pw0m0DmIf+10Ri
y0/BN/z2YXJQoUkC1XSCXHFXGrSDEoaYZC+w/WtTunJKsQZEsrVGhfGle0cYFdbZFg9W6orbyDGP
Rt5sUw4kgrXYwm07xe8borv4kOQuuHJdvfKVrNo23BNdYjwi5aOOyRK1q2Z0wd72unQgyY6ECIGv
blNjP1qmbdReqRhoScQWN30sp3jdeAL3gUYyMxZFgJeoHPLbcVTuSNL6YNAxmqk6V1a1ov2ijKcg
dHYaSYRjUD9XE5yfmLASP1Kvi0hHqK/c6V2dLYKGi4fXSD1ARZSil72MFTzvQNdWMEj8BekVoFD0
4dRU2rlM6KVYndEuINZ+Kvt0WjQq4hZ3cJa+2pA7nwcagTLC9gpi0sdtP+TKHKvxXmvtkxFz6dGC
/UR6CoxPG6t0gHpG7/ZVV9wHqvuomDbhjIlxFef1srHSuziEnV1F04em6lddqxUXmtdzlc5fdFVj
CBleu61s2BnpofBTIgpGwkXavZJ3L2pFx45QGXuuG0aLWxofraKQimAkMSkiClF+gZiTwaIvPJ3Z
pcWA76SjIkZzWjKobmBzBHk/b2Ribx4hx0pRDi+dOJ7m2VBoc6Haz8Ho7zIDd3zjRSrJK2iqHJ0L
nbHBQ3XyElC8BlNnYPFVWaBuFm26bqiL45mVpFujqeZ1bR2bAauYkeMIDLJuZarexxhUS5xQRpsY
/6JsOPuCo1L6svLERaaDM68P8DkHhnJWK0JEqw7flhYjO4FvAJbZOSLIhG6k1u2KUlYckt4gLTCr
bqCymBd6QxiDpvvozmw3WkwVQSrdMBH5l5jc0mHP0MzElUGue8L6J+7D4c5pbpWyvkO6uVFb/a7v
8DD5Qa0umlrXmHLq0QFZOd0vLK7LwCLtyusiLIsDRB+CNL31qGnqRTEY+hXhlrTvMH64JsVU7+/S
uCYxpdTPDDwtnPFjeLINvcdmaa5GJ121Td0jrwqTudVnH8c6X+ldiOeCXGaXOD8/4POMkjE5cQXC
1JV+ufz+tGb50VFF+ceUUsgZgPQcvK1ZCmMghpkAjlOSfojNTxaGwt9JRH7wEszW4Hqq7JGqrrIV
v32JsfCHGsuaecI018aXY3GbuV9Kwf/tQ2r9Ob84p5/rbw+l/8tnlKx5f35GXSJJOtffH1Lyq/46
pFQYLOBPMCMIbukSbvjX3Z1xKFJkEjMQ975ONr+OhPBXY8dA2wPG5GuY8NdDCnKLa2OJgsVoMjJi
VPr1pL78UqRyyP90+cGIf39ImRiCUUyz+BhDsEi+XR2IljJmmCP3vKRv4g2bGTc6p4yPEUGd5lRf
OcF07/EM6WWTrHvfvUe4V89SDJtW7q9dUGazMB4+VE1Bzy+vrkSX8/Cp2P7paKXD1hjqxdRCBFAe
c5+sW38VOP5Ji1ymJ8wm5sKSiGVtQmhVC8TE4/QpkZDgUZaHpuc8Mn5Nlo6hIL3pm8cpTze9bvgL
w+ouw74xliW7Cf+u7qdu4M5GfhFudjFr7eQuU7jFpZX6OSzql37SPznIUjj4yECt9OEmdYZ+Hg/m
Yz8q93goBdFK0r6J57Gb3ItMjONegVkvNHpxGAZJW4CNZnOq84f6xfJak/+QQ7DTSJ5gv6fJKK/G
XAXSAL3olBvPavxgjZeYk0HXqXOiP6sN4fPBwrMJhO+NfjTnVqwOKVAJtDOLginutqqNxj1rIeOR
ZThU6YbdO+AsxI7Anl8uOehb8HGYFVQPuAjUHQwMOsMkVZoaDL2rOESk1WGUpofg1f4wJdVVJy0R
HGvlrJA2CR3g9ayW1olAmihSaadIS0xn0mCBVLUHhIfpAkNovGykEQNiGIlT0pwhpE2DtWnOImnd
IOhsTtRPvgM0C/ctNsOjJ60epJHVu8AnyHeQRpCMvn69KKU9RAkgvmlx+6JL60gZlO28lHYSDV9J
h5QK+IaL3lGaTuiZMB6URhR6T59daU1padAuM2lXqfCtJNLAAjI/uXQMP16immW0oozh0tXg15vS
/BJ3tbV2gvIzCAAXew4a9lKaZWxpm+GdY9gurTQO1mAUjdhrSFjjvZGWm0yab4xXHw4jqZjlhDmn
GDO8Jsz76EPh/yGBtNr30s7j9zQZ3CAIZ4VEkxSNSDDTByaDFesFWo85M/EGaaSjrOtXv5AqrUOR
WwSzignxRzXlCA88BAO9NBv5aUUMTGF2mFalFymStqQoazEoSatSFekMCSZ4L8vg1cs0SFuTizEp
ekkoJzcOOoirXJqScTHU8PgntdobRTiv1OE2UTSf0WOC6shw41WelHejQni0OnnkgEFqW9YB9WNX
P+KpvE9yjOok1ffLIAUO3qU5IBsVg5c9Rndall9GZR0+je6EuDjwg8PYOg4qyAbpGFCkjFQvC0Ht
PM/sckv+M/DQ7qlVvVXvO0RiucpLHzU11Wr4aCjRLjGTB+kfWxu1gr8+reQm4h55K7YtmP+c51Rp
WRdN6twi474stWAHUMieZVV+Yavmsy7c+y5RgMhUw2UzkbblVNUmn+qbenI/oMb1AC2DOilb8puj
MUQwF45rQwfeSllkMr/O9r1fzysnuPYp+Wa2T+kJmqDcW/iphyiSNjd9E+bBLra9k2P0R2UwSkme
cHhSmIllLLYZlUWGEdoNP0ZOlj2JuIk2vtGFCM+hzgz4rnaCqHmID/iuTSv96NboG1OV+G1hlJd5
r9yIuu7XEZEJOz9rqdIxhC7jsXf4kRS6YUpDSNvAnuTlvX+VAuKf1TwuV6+OrUklCr2SL9pIsH3E
NH6tohy8TpijLhydLDh2mHYNVhO5ujW468LUxuUUBVD4WsZWqmeP6wHk1tKrQwOmPN0ld4rETFTW
Sz36wAHNaUti3UklqCw1ooPVwrQ1elVngGwkSwOM34qsHtI6bEtdJzhlF6aaA4gSA/DHwpqFAVwo
Lwz1tW4MbPURP22Q8tTqfS+VznTKRAAqYCzYpVQJsO8zflOr6ixZXPqMUzSxViJ8eVFKAVuSQoQ+
Btcd29Sfcth/Sx3ZYP15qSOv40Ve/0D/Ir/ua7GD4dWQTDkcrWxlBHG9KXbUPwiSNb7c1CUw5mut
Y9h/wHvXtL8CwCiBv9Y6NgQag9s79ZFJnYJe5V1t88ta511P+1X+wu2eTDDTwEBGMfxtrRNVSqzb
kx6cUhXw0jHQG+tp0FTM4VaVZf5lzsx0N7WleBKByUHtKmR+zvpB6cF62vWdG5j5jeuG1jSPjLbP
V0ZmN/e10WpMkpGjLEUQwboKlbtB5541+JM5T3Q9nuuDuHScbN362qntyNJNRkkZOOuBZ/L8XYva
4WAVKpSMNOSuiIJDi8Vy6LxFq1Q7JLYgOmrJh606sB3qeI7LCk1wz+mPY6NGU5uZGCeICKUEXSVZ
N8yUzGbLbd2t6VfVrOvJdE/FtdlZ12kotEVsYBHwhosJSOfC7biCZ+VNYehPgRMRVkpdscqyqJ3h
wJ3WTuimcwxN2ARM6zoS9qFzahrp5OGILDmQ1r6HmYFwwNOdhVnbBMNUgFXSvnDmxRRfd2XxoTSn
4mhUneT6MratJCyuSseaLEXJF0tAuTUgeOZD5ieHjEJjsosHAiiILNXUYtGq1eeprkZoXnKPqNtN
UkdrlcGHxry9sO2IkbY7h/k8kMyjrxhmwmCLeA/YMPq53znWJsz4k9kN7Sxz87sMygeD1SvHDBZO
kTxrcXArcrz9TROZB8/ytnDQrsICqVBn2cEcFiEU6lYcfAyLXJfN60CIW7MiGgdB9CeRZ/sJv1cx
OvhtVIcZdmbbM3Qj0Sz3h33GEKNRe0B0ebZOQgUbjdlO80YjlbHM7iIBjUaIPlwxe1+KornJLNHP
lZ5TJ1CdlVna3UUrZT32WDOnqMxtE4v0Dl/WwAbfXk0d13bLCC4ygulnpaKiUBrbD9UYffQ6mRwa
AJawTHVlV8690J0HmwJdp/eSpD5eCfljqN21MhJI5k2nJA5Rd+gr17tkseYXZtceEje+nEbxFAqU
JBmJ76tqCJGjIHjYqsW4bwTLTrOiQ67DZQePho3buVdAQM8aqLVzLQKQoVThKu7jC6tIT4Zb7U1X
XHY1qpZGQvp821wpRvlkwiwNLB0wMyxvkdu7ohOnMewNWh10YVy8N11Jn8yrb53I/iiU4ViJ9rPu
pbd1Y28BTR2iLta2amCTnpC4FBY5nwM23k+JRkalPuFhdoYEqFkmTvzyggDZ4KGsoEpqanrSPe0S
vfmqdOOPiuLNndxVZ3YA+yw10kuZ+82Qng5b2mT3gUBjTIeAhFEVRISStAA2KLpnHkzOuZ2mZ0zR
VNBjcqXV3kOi5OMcNgAmd/wnrjMdkqw5tlqMLoebiEjPNM52k8WL9vpVxH0l8dxtUJDimZB5aZgb
UFnxKvSSY0sbk6LayVZjnEESkvGAGiWHFexclKT7UKuyK9rrXr0bOk06q7IOjrAxLVy3xOoWOfdt
mjG2ylNovSU2I+BCUEsQL2GlyXJSXgZTvxxGc4egWrsIeLDmfObWKYMYPrM6RhGobob7qcz860rT
kn3ERIqc0LZY9omSbDQYfLMCh6XBbMzz1VknmgASPCUeVSIvPRaqtlIiRoivp9O/x7S8oP/8mEZU
0Jz/Y3auPp5/pFWVX/zmrAYQiYdadhpQg9K9/qsxof4hbJrkYGF19NJSRP1VVGD9Ad2ZBgSd7Vf2
G6OVr4c1GXRCF9xqDEQH6Jz/UVzTt4Mojmr6G0hpaYAAOqKtKXvrb6a/RqApfQNK/iJIn6b6Yhge
37wtfzZC3gKfzXejNfkKUoYuzdWI1S3Lfjdaa73abDxraC/ayVrqevHCWPki8aJrq2pe6EmDT6zC
RWpS0mtKttXx71RltGxtkiqFIvJ13hvrzK42Sq3eRi3UnLr4pGCtxlt5aC14RzWww9kEcUbrNCs+
GF1TGic/JVtiJuVVPm8iG0WZMiDNx4mDULW2g2Rb95YK4VHirkfYGAtwMsknbMuAXyUX2+SqjwoC
VnYkqdlubD63kqONT9afm3FQ7oHL5khknROqL2WZAOB2KygeDEqCWSHp3NHQazNDErs1ye4eq2xP
y/spBuqN14rdAcp3zw67gYqzySQBvAIF7oEEN4DwOYFvgLzInhQVajhUjpc0Vk4N3QG4CdO0ak1n
4XOA2QyyFdDjRuk+xaDIs6LdNZJNbgEpH2IMopJa7k/Vgtv1rrTts6dRCiBOxdGtLNo4PDeSfF7L
WzNiffLpTgpodIvJLl7XxxpkutvahHRaB1Oy1Cu9OybsboLJQlUAGJbU9dx07yLJYZ/i5LKSZPYa
RHsDqr0oyfsZuWyainmLbRnchuS6GxPZ2ZL0HtQQAVvg76OkwFuSB+8BhlclIZ5cw6cWZHwPOp7P
AhRHBq2PZtpuAC/vmt29mQOzAjsvavFYg6EnluM6kFz6FkC9bXZHsJvbnG6PP0T3QcfoJwVpjzH7
gLf8RkjWfRMl9zrwe82zMbq1qxwovjNZK2WonuCZQEZp3LVi1I85vzyiViBndM9iCtGReqUCuG/E
w6HAVUqJ4Re0HoBeNRhAwSdTygDs5ylAPhs9+p5HvcqAaKW0LcumfAGFtHGwaZrA/6VCUSEMoEaU
iJU4WjCtmqtW8nGSsQEyP4BxxYFIr3ityWwBU7FvA2hLZdGSOhCCT1RTLrZaCvhEZhM4k20dSYXI
dmEoABUWWreAqh+55kMrsw0UndohkXkHUwTbiwAEpUXHp8tMBKsELwBg93qQeQmtTE6APAXQVxg1
iSvMbHSSlJY9UQt+o4tlaIk7AJjUuDKPoZLJDMFrSEP3GtiQvoY3pKNCEhum1vBikOkOJQ60hctb
AWmu8OfcG2QKRB4sTPTghNkq6rKZTCbkMjciB1XXgO9V94UgKTgYdUQ61b5phlNhFsTStLQTgBNQ
WehlvYG3GS39sD3gIkEuGRdYd2G0eMPkLqcBTCr+wWKZN2VONy5MTjYdGmoDpabC4zf2vOLZmsa7
yjPOdlxu2N+OEQrFuYv+fgHn6+DFkLG0RLOIf7AGqp+cvBQLnDY0Li+5b+Psuu+qHsaAwLlLfayT
Xh6ZC8PW2kVeZHsExWyIGj+03V9lLeaUggsJe9TOL6H6GaVkJVPXNwcakevAQrmbqPcxFxKjlTob
L1lnQ/wE18yiEyFF8J5AyYLR2TND+2PRKxAqJ7pFWJ379DbWUkZwobE2bC4YEOQgzjkTcRNhWB0n
J74wdOJ63PpKKwXK+ZqQjrSFxdhbC7a8rc7la+kbSHaSsftAPtAt8aDzFkRisqgrsAQjJGKXPafd
9arInzKzUdh/FUyUMA/HFhAhL4flsmBEkhNdNwKqszuSLgLwYSZYTrb+4N4reQW9TW6z1Ajp9qru
rh0rGlWRf5HhnZ0n3IrpTUGzMHP7FjQytkgzIrAl1Wu6Qqbnray4vBXeeOtk1vQweRkWoDavVxbX
wpndD6uGDJB1oXbZGsIFOm2+cEaTo32owsRZDc4YTvMEVCmnUtBszI6smrgvVga19mJM80fRFduM
G8Rgj8u2lshGexeX4wc1iJZdGNOxLIIPbaLfOmDegEMMHfrOqFrkXjLOC+IMaVqqj2BfjYUxmOVD
KwptUeSUenHAQrfDluGrZzzohMHfeLo1rJyWO1fUquPy18fzu5mVtP86QqPUwBGGQFXm2b49/vU0
FYbjR9lFAxfPGjBiiv6qr+rVr1/mvR7vz9dBQmBJ/+X3RUBjT+Q/B9lFCp+gFvoHdqVLRpRPbJfV
rB9dPoAx2XRDwbgy3tR6cIBqwQUz27NTHRBWATCJrwKvvRalujSAvLYuIjLfg0kraMDzCJgTRBLV
p7XyV133gwLmh+8QTh5bCgughb2b6llpm4eNG2cXPfAVf7xVI9y6+W8kXq8EsDdSJ9jpkIFlMAYd
G3xDr4l9b8owUl8KArLb7qJgHov729wSt2MSGVVybnSdtfSU7gEIdn6VAZQYkTT3To9CbizYqAwk
/lG6ChQawIge3ZuMU6nNuwt8SISR5Hi1LSLu5BzpIgQCP3gW77nOcyNSZuTQVadrS0vOcZPMIeOG
66nnUlVrYGAYdGNQNp6VSl/JvEwIrKWYjSbIxLyknx5UAFEBjYAjF3Ak9M+03s+DLVMAmbcPdnIc
Jxv0gD0qeJv66KgGBTTuAS08ssNwEbiRvdBC/85rtfS27IlZcjX/YKWFtYIo0myEhlM654jTQJGP
kR0vC1U/WSqWpGGiJakZycFTzy0wUcvesi8+OgoMUbvXNmNkPibwgRlg0FEvMBoaYNWg/nGI8Zgt
bL9FKaekm6qBV5Bqw46L+TkO9eB5hCWuijJd2Elw1HMkhUZdruAg4GDRh+tUiAQMDJp4MQ17uPy/
EdhpP1wPPJDwBqR4mL7ct8+lZyg52BKLEFVNPxtunS6moksuBOP7Gfvpk18ztMvIW9bEsCC0vpqx
ox55VxgdBIA+6FUdG2WaMYs7WrnzYJhZsKpTq1y1rYrlwwJf4IeIFjqnc5ZqbqYbnUN90ZMVvHAq
hXqEjUhN84xRWnnjp+Ew14KanhKOjVkDkxF1DbkPE2opcXalOKvTQApXqf5B6CO1M+mmRqMt6Laj
T7TgQFe9eGDkR8Cy/knYaNGKnm2A9ACRDbeeGx1swgrK3LhhUMkKYQYw6jdW1x3jKLgB0Xud2u5a
jM0DAg5zRt2oLkXZUguWHfgyBmOOnBDBalyQ+srJIZSzwpqYF67xqBnKgxZ05aJs0HQGtrrqJhpD
ypAvNbNaq2q0dXE3oGkAt9ItzBhzveP0exvlSK916CwTGCxJc2uQPOs6A0Cz8Uzr/bk0UJ7b2E9G
fk5wMXEXn/JgONiZWPW5uQjsEJNShoTFDa9Ascbb0ZmWeT0uRYLfrKCgyYXPvYSHsVPcK4gyL6Gt
SFuKOjfbaNU0bTwnWHuh+81c08RB1DCaDAZNDsnLS9OfgPdSocZtcFA0bxlrPcSmRhrFLi3GYX6A
0CJW9imnODIeBlUJudH0H3x6cwA0F5rGqZl4/f+wdx7bcVtbtP2X14cHcmi8DoDKkTl0MCSKQs4Z
X/8m6CuZKuuSw+923XFHJkFUAefss/dacy0btvesSukAwvh1E3Juo97cTRGuESss7F4i9q0WWXQn
lEWRRM+zN8+eKa39DApOX+4zU6PqbRLhlBSzwjYxtqrf71CVlHSFGPgxD5OcXmToUDDDqTklJERY
KOkib43M8fqzri0MnEe9eUyHpU7+g7r2jO6hEDFGpeJBxxiyGDx1DxIHk77nebtW7gyn1iTJMRjZ
rQA0uwV1wzofm9oddeKeOqoQI6dZiUoL5kIlfbK1XYhU31bud2/qLEn4ZQcNrJGpYtwedfb9rj6k
2eAM3RzKdYqrg8SJ5eP96EJ8+7frXRyn5SDIOF2wMuT5q2R864brztpn/mOvrj++EJ7XXzSxb1ei
zazCSsDMCr7y1zvr66YrI7GjdS2NYA3DoXZCT77Vaj/fBDmi53jodkUBnzKXROlgznEnepQLHCYm
bNr8XjrKwndEAlcI3gDOKu29EOanXDRuEso3Tj0OwqObgcwvN2v8ZdqEz1mkPghBUlz7LQ4uLQjo
kmntTkOcRWGxGCWRzjLsw6xRjAd8GTfFhHWHOIlWaTahIu8mMF1aYZ362N9VbNtYnnaxnPEyCQzD
CXMopIe0qBZh4m36ArxSMuAc0lL8qniykt5/KgerepB9YiDkWvE/+VR/7bfAZGCjf/+hXuiQYp1o
xMozh6M5PAfT19H8M77pvwpNPvv9FxuHKCTUyABXjqF5U0SWXSp3nzwWHz8V+sXzh3I5FmPZH4+a
fA6ZL/AxicHofHyR+VO4LIdQyZiYsXVJM/WLR28waqy2KndhyY7cvDR9Sk1yFw7GJ9+G/Osz/tb+
Ai2oSWy1iFSpTH99xkcsrcyHCvlIGfPCpubeJkvPFRZMa50HO7MfNrrT7b9eh05wPyy+EJb2lTe6
Xiubj294Bjn87Y7fLSNvf+i7AtDqQquwfJaRZtm5QAMXw027Il9kaS0sJ6mW0orPeSk5xJXawcJy
i26hHrOXj/8K7Xd/xfun80LQnXh1YsoVn/vjsJEX8K6W1tmwT7VqB+7qQXP2UOJX1jFYDmtoQetb
zyX4fM26Z08rgmDwttqxa7nCvl1nq/oUwBmzffc+t9uj6IwrbWNtQKmvq7t0efPxn05I/d8/wPd/
+sVJRpDrMIF1xnNpE9e5rF+LZXEruaUD6c4l5WgB/m6br84v+0W70RwO7NE2sq1tdGSG7Xi4XO1v
nnP/8V/1Zp75+4P8cw3VL3aHMMy7Cm/meAw25NQ70xok423G3MpB1YGSwCafyU5W5rFcy8800hYf
X39+fP9++b/eo4vVhqVGGOuCxF9xyhdG3+8mIT52rZh/sinNq8pH17lYdczQVLpuSsYjNTUj0Bdx
WPf61xHNmNjQilp+fFe//6p/3tVlR1kgKlHRyqg9BsiERu+68K/+twtcnPmUwUx0PeUAFWs7OaIP
aBnux1f45Isx5hfx3esupIWZGSMvWl4ca8a7hfw4teYn38pnn9PF4lZLTG47I2qOw/ytICwn09P5
3+7j4gFr0fm0WZ2Ox74bQJQd03jAOn3++CKfPF3Gxaqke74w0pxjNyAmQLUy4iCak6K0DhNaItDk
Y8dg9eNL/vb70Sw8oMxZyPa7uCT4EMUrwqY9qun3ihAFJaDJt/r4Gr/9et5d4+KlIYqtFspAHY5a
pNK/v0rTT7oKn13gYknE5z6QHFB2R5FFm2Z0DGfq41t42x8/evEvnuMgZOjjJTzHnA3s0vG33To+
cETAiOYEC4IrPwVnXeQc/qigfr79+nzX714dif6f1MgBe9QjjeGMVfWAMAOR2BeinTedfZ6I6GLr
1hawLWzzSrCvm8W8q5+fyrOy5dSOfGkxNvY6c4LVZ1yv327k70uXyycnrHpR8njppNO8kQt2vUrU
TSY5drxS3YfM3sKE2H0n51u1q7txhw/gk9VLnpenj76Ui++9E2o9KK2RWsKFruEScCbrtrVL3Gvr
qO+VVes+yUvPzujYLqtVsTId4ZMV+rM/wbjY9wD5CoSSFM1R2OX2AO7Pjr6RseYau/Z1WBeLdE+A
xEr47j8pzrCKT74bvX78aL4dvD74FIyL5yTGUqLWGY9mtRyWpS3Z4VzVbWLnttsMm004Fy1HgAUP
wEHddFmsjHNrV267CDa9HTx/xr7D1PSbb+Wv1127+EhMwWI2lLGklAt1pa/0xB2WxNHvw51kv/gb
tHuOuSnWNPX2g2PcLbDJ8hU1q3h5E7pzkfCf4uDf0b3MR/+zxTvb6v5jiZs9Ef/3/xxeM9hqYfYb
FsD8gz/G9rAATKxmIKEwnCCC5p9+ju3VP+aROcw1CUUd3v+fY3v8BCLOD2xoyht3bV68foztzT/o
5SkiEAGgVf9EX6fpFxsi7vY5vg3EFCcjzpOXqFCDQFOTaAbhJAkJKDO6KqI6vXp94NuxliDJV/Du
S9GyGuekEjEsqmurSsnSMToBkaeBNvjaB1NjEkA6Km5bS9UDVBpjfNEEJE86umhypslOjMo5T1E2
p5VfM+quMfWtDFOs7GHOXSQuGn1yIVjLSpIfsyIWX/ySnMZSpo2fB2Q39i0pkgRao/rJ+X8Vg4xH
RjfVc/GW+zgnQE5Bp237zNhGUaXYPUESWoCzriY4spXbr+nAkK2bMyWxTRHbMFuiiJsc59zJ1NAW
aHu6ozlnUqYVuXCg7ZRVNY6BPc7ZlVU80GAzfVsZrXhhorGz5TnrcgIsTGZafY7qDKnT2NAUM8nG
lKSHEAUtEZLxMSz9wMV3eBVNTcYQXzqMRINB6AlPBHa91GG/1E2myWqTNLbZkctpmCR0NkYfbjOD
KaA253fCyREX9VuoJ2H3PVookj67AlI4X4twUuccUM23wLozxm5CdVvOWaFxlw9XE4qrVcYx+Gog
UpSRUrC25pRR4uL5oXiawiWTSNJuHSVLyOydo0mrOaR0essrHQbkAaCRSDGNggC1uJUV3g1t+WLV
RVEhLniws01WdR06JPJFPV0wD6HaQ+JtLO+Arb42s4NE+vmV1AZPScBYPsj0Lz52XIzRYHDweD7F
UuMvvKb4jkIwdYjw2ydekNpmNJ4SsEpOMKbfg0lzwao2J3Qmo5OilXHUyowdK6NlJnT6pupKYytr
WPJQiN/A9ONrStOVGvAfq4LrM2gUx+rYy5bNbKznD2jkFjpC1fWyeui0QtiOikGqLAkcZ02r4eVU
8IhERpia4sgIGNwiSpp9VVqi2/KgnYih0JdVqUF5UNFfCTk6kwrYK+r+dqUEyfPsoWOUKiFcGOpt
TyaanXS+tNSwyhzJS14KqfVNFuq9HqVXeUvOk6Ac6sKgsS4LxXHkKLqR9WrmhE1rQWPOkuIbZHzk
eQvTfG2EYRcmAJRVYz8GubUgBXFVDvSFYQZxzydzzBiDIMrphJ0mhfsUNw/2d807ZCYQqVQvFPLT
/JtgHPxNGSSbKqL2KvmSzAAZXx8CEY5QH0Ci+uK3PW+gHp6GLp8NNujohKZLHawfDBCSjdVoC1T7
X9KK6A/o4oTwfdeNkKUlXSLIXRIE5Ygdlj1fxnyKjy8ooo3RqTurH5wecoMdNHB0gfLcmYl4Qm95
p3cifMXYynUYeJa+9czpe1FK19rUboyWrK00XejNoDhiMOwYDzhMub4EurLSK9r5PiIKsJHnmhm6
mcvfrJh3OE2U18Yar1XSwty0LA5jOS2FWCWFT3EAQBNRDDUb0jVeIRFdg5e+ED5y28/PoxRHG2bU
5ykfTimxamQ1b7whXxtp7rCQMvfXKMCz4TiWoyPDRM+81hVMtIOTsELnuTaADqdFtNbrYSloM0tc
Dl90k4GYUKwFUoPjADVIkZ8y/CiLTMxXFKnRLO0/yw0htp2/HkTTTXNhD4BuOSYhgCDZHjkvlbwi
sio79KZdPNOO1ySvVfKaM+scGgYSprgeRTyRffaogSCrJ8XFsYaVvKITKp8oRm9qrAkojqEnDdfq
YN0m0YS6KCHENu/FVaqilPEsnkBPgMEpLk0r/T7CbWWFW0LoI63LdHWTtEK/DjaYYddoax5FqUEd
ad7oevFoBvW13+FqT79leNJLUSQVAdOFoYTLUKfb4o0z+GIRiKPjK8EVU7dD3inX6ETx4BBiVom2
2CPSFcW1YHVrsybhLEhuIi3fN5p0hyqZ/rxV27pWzKPOXS22S17FY22ZS0mptzjnuGC5QPVCez2r
3bxE4YP2/KVv80d+FUhCD6d0rRZMAoLSJXrQGbP+S53VOHqFXdLkm0kwiLRgENFVMdNSNomg8EoH
DCHOXN1YyU33gOLhuSH6eyyMDTRJ0nyI4M6bas10Y4N9jAmYRvhh1D32lfiQV9E1NBsIWwNC0ZbP
zlpQ462NRuPpNFbwl6+yPNkVcNs7ob1JQmNtDt7JU6YNkodt50lERaINydpwmSbjufBmWBX6gN68
iiprr0jDU0GpOFYYnGHB3nmVflVX9SmrtWuCrEXblOqbFjtrV4CIqyYk11qyTzR/i+1XtHvYidW8
UE354xg3pJdpq6JgOozVO1I4tPVz0ZOB0MruqmLc4q7bCbIanAQPEzPpVMlNTVqPM8nNtgJCOPU9
xuqYjSf6BonuLmpSlCHA523LaJ7Ay6AKQsKT4wQLpW96inm4KR/jKtiIsnRivSUVaVYv9fWOsEXe
y8SInUmUngKtLpaWEt+mFVCXcohXsSKdoxgNT0zCbIYIcIm1au3FutPLQroIEah15LIYfu870ii7
cQLrPsjOg6+vIm/YDtn4rRDI8aijLw2+ooL9jzeghj/YGYu29RdVIGQO2D8QXa2TJmwSZNGvO8GE
eMT4OSSBtjOWoTgsMEWz/tQR3cxhWg5YlsaG8UIDYwYUHfKwwsnQkDQhUbVBL2wzWeVZZzCBLKWS
8k0iNIcJd0NdFS+tOccS1JbjJcOhU3GEpyLb37uS9vznMee97PKif/FWISqSrBsYVyFdXx42IApV
VRtmwklMgSzGdh5fC8DKPr7IfJR9d8L6z0WQj4gKskBFvmj+wAcVdU2VhNOA4AtQYfs05MRYuykh
Wx9f6XcF7zwK+HGli0N17uWjNHlcSTaPgYrS2ZAW07TJ9fuofQ5z/Z91tf68Md4m+rbouM3LG5Ph
LppekvvnTnhu2l3pv2TJyz+/I6plimUuo6iXhFiPCbhojUVw7lRaWKt2HBcJZsbUX4XAG+Tm+PHl
fvM8ENfLoQX7O4Yc/aJPM7M65VFswnOIn5Lxsd36qyL+5J4u+k3zx/bLRS5O3LUnNJrucZEII0xT
7Wf77f92G/Ntvuv9dM2EewE0yhk2qU7qRJzfenBOP77I3B65eKx/uY2Lx7qIx7jo0jo8D4Jik9ph
hWeSi1ngnjR8OfVJxlv78RV/9+3AyBVlLM2M5y5B6nFISnAWSeHZKK9KERlgsjG87//8GsiXdFVH
ZiTD+/r1o/M0hYjZrorOqEYWqe4aCG8JmP74Ir/76LC+w3RQJOjjl1ijvA8MIwyHiO/nKdP3ASfF
iMXA8m6idqfih+69q4+vOD9Tl1/W+ytefFnkU5BnI42wgGFtdPWDQgH18RUuepwaABtNMlTyiPCy
6byvF4tPnaskEQ5Seo72IGA2bJ4HBFUL7Sq41pxsES4/75/97oF4f1cXl4TynA5N0UXnTifAgu62
jFFfztcf39nvPztkZ3ARePIuB/z6BEmhIaXj7JWWI4N9NZtPPrv507/8dmB087RZDL7hffz60BW1
HELCFqKzwdEXUhTV5nOI4duPok/u5Xef2PsrXSxwnIjzCjdSdJa018C80rybcvpkefv9JTQdABKB
eFASf72ZUIo7U538+JxlJ7y3aFtlW271T7a6371CPGw/r3Lx1aPuDZrR5yph/JIIBPUIi0pF0do6
cXMW4lWiffId/e22CCU1cGqL+D/BMs3Wlfdrqmx5RpEaeXJuulVZPff6opyu/+GDdnEJemnvLwGI
jA80KJNzT8SzJPjuCE7v/+cSM9ddpOChz/brJaJhSIWEk9a5Tl6EaYO/75ML/O1R5h5MFSEbJQ0p
QNpcorzbelg60RRmzLao89IWOHu0CYmay6zXtxv5tys7zwg+6spWL6/faL++gc3+gpfNP/WzJUt3
FbeSphEUxvzH4J9+tmSlP2QVM7RFP3Tmv/DW/HBSwWClEgb3D4HVst7oZT9aslD/VVEh8gJsDPnB
1j9yUiHb5xH4a7VDTIKLSqdiNGG8yGgRLp5BRZDphZRxfJJEtam2VhMWkEi6VBUgeccG2CsdI67T
llF5JRmx25IKSUjLmmmE6EWrbMa9zy2oxrynq1PYRdjdSopa7cQBT8SjNxOg9SZj5k3h6qRveOhZ
tk2s7rqQCXEPgUjn8XgahKSjXpG/eDzIDrGyuwLwdKYPhGCAoh5AUhczm7o1h3sw/d/0wrgulJxf
oEzF2h80SF0mGJDaumpAXXd5JS/SKKWHJMHBLuDX3HmgsYFr4KsVRxLtBulkgs/u04iwjBGitj+z
tYfKXHd6gb8i7teeLj+pM4e7z8cWFATz6Jzh5IJiIloXSko+YmWYKAU9UNtl8NjGZeNmWhGv/Bjb
4jQbGJXZyti+uRr72eCIiYsjcPnme5RnC+QwmyGDQATcMBsk69kqKc6mSaPBPqnPRsp8tlTWs7ky
nG2WvoThcsR5Wc4WzGA2Y2azLVMvCVeqZqtm8Oba7GYDp4yT05stndls7hyDCuV5h+ET/hfez2i2
gXqzIdQsqtmQYI21z9+QleFWNQRd2lgxneWl3Md2Nxqx9FUqFdVtUaYZJfTRoGsxLZmENyDMDTIp
spF3LkUtvVIjCyPJMOaDrVTxK0kRD2Ud73ORCIHU6FcJhHCHzJdDZQmHmnBGO0hDVyuS6yHItoVc
PclCvI96QjZLOb1V/KBfNIH5ogLiln3jCEED5nnQGDG5CmMoLxSlUyICGYJoOkiamNkilJq4iOBh
q51HVzvYtOlsZfLoOgy6bC7SyX+ZBpZdD+YEh206pPlsTdasjBD5Snuh81zNvujYIcG6dpVgWLRS
4xrpeOcPzYAFL9Pok+F4GUda99B9jo3ep64pakDWUSADz/aB5PN/RvzegFaLwQHKicU5WUOzGJ9N
arcag5C56yAeDa0nXKsikWAsyIkUxWanh0Pn0IWVUf/VAmYp+VkfsKN5Y37TGwNNjLHnXJ7Vhl0C
ubBCFI1MgBA2GcZr6vnfkhznP2+X00QMkCMKmxaTHM8AzXARKF5bj6hZJbq+NCyspcmjL0qq72Zi
1fiupzWUcgINYfj4kZHH26xu8tt/94+3vGOZ8vWD/SP/7UCPn/mxe0jGH/QoWPDw2lLxzgKyH7sH
OA1d4zGmP6VD6dZY2H/sHkztwI/C2iBRxlColP4a6BmzD5dIPiJj/jncW7HmCvXX3YP9Q2c4yCZi
cBS8qGDriRq21VrsdEo27Uv2K2QMOSwl1RUGvwOjOHnInW1BBtLimo1n5EykUtIN2jB668CLycFs
QzGl3+pzDR+59iio9FNb1o+FT5Isc6yp1xLW4IbO9EPfknXhTqKvEvUSEx1cbGq1kgobspE+AL02
4P8HQu4vDa0SnHbIHgAt4h0j3KOZsRd13TV22YmdTTYFTjBfqEE0Y9PN5EOVgWTKU+R3o3gNDpDs
CgmDXu4VpKmku6z09lI/3KNPm40iIB+KIgWatQGTQPvV59UJ9Sh0YqMhnmQweGVMWm2tNyE3HKYH
3ABnSWTFTDDJCm2Nn2CgwcfxDRdDCqya9p88ryth2z02jIHwqSS7NBQ1mvDjuc6zcdnrHemUrUXu
XVc2jmJMgxtDknIJQ5wWo0bX0BTlBfG0oxu1Eqk8ZvdNUIcd8Qx4IhnoOaknfRuGIndaDaeOWK6x
SyROKiX7yJQLJ6yq+1YjBiUq+z0un9bpQhYLgGU3AoiI0mhRYsSekwopkvHKKzYcNn17UPNjJOfX
ZMQ7lOc73JtOMLC3dgAcJKNcYMf8qo4FPA/sCo3CiDSJ3SRQAZwW/lb1Uny5wL0IKIa+3QwR3I88
XpqjQVCN0hxSAahEnFREpxIlLPn+QwuEhHaKFa6UEd+doPtnQrBwDlrYDspm27VdRHxF9eBjobYn
hHHjKN00/rDQB4qNaJDWcRZd+1m3DzXFjfGw2bo+hcRxjKC0gUeuq9gLHBGWNwu6sTBL5TVPpHot
gcPBapwfNSlrVoEC8kKJ7ziv3qegn/KiPAlBQVffirHTJiRymUlEQE963xsmPkxCHkTlSSzw8hjs
+F2f3AyxtiFqZLT1efQTmPRwRpRwPOhygGCdMYtiTeI66PuHzJDBd8jNw+D195Ja36o1e69fTass
sE5RrTkCpl5Va74OBgMHwoF6pzXiwi1jyc1NAiuUpr3xIliueSS1jBf8jV+r/rpsymvY5U8Mrp5L
DebKEI7ITaNwNnWqkqOK7V0XMtaRgLi5uR5sBSHfiob1JYMUY4t+ifI5l25oFy3DSr0tahEHcn7u
xXB2tSs3KrlTrhmIcEcH4egH6iE0CsFRYmyJYcIY28hWmTR+Sf1pWMejv267CplZYFpOJkCxoODK
cZdkT1EG+mWc87eTYTJ3ljgCE5fofYtTtQ/1eJn2hIl4MlxR0uDhUQn9MqnHkySpjKkC4kuq8ggX
5o6RTLAFNpssdGl4jUPrOsKGautKAWA/ARlYT+P3vgPj0nWkC3u+rDo0JiDX1HN8soFNzUvaG1JC
eXQo2+1YEghXKsKREVmuOWoerGN/+KIHDboYPcsWg27B5igPYN5eY4aJbj4Ao0K/zANFSM1EWE1F
aI2fh+txyp+ytzQbYm2MOd+mIOhGnBNvzEEg9qrVmZzJ6sZv8PlNc0KOJEcHicickegcuFs7wwIT
Unm7NIk2QVPeeEH5HTN+7ZIYtR8J4Zk9scWcyqOMFJAi8xFCyFn3qjm9B8LewpjzfCKCfbI54cfo
yfpJID5qHuk//ZwDFHb9vTUnA7U5RLxuTgvKwvhpmPODBoKEYtxbBPsqOVJOmZCnMXiQ+9d+Th8y
5hyibFR3gZ4+DSOfqGQxcOobmfDr/L4iF9WB8XYvqzRIfGJ6MN8yz1GYatX5iyWrz1Mlfu8kHgZQ
LbdFxRdGXqfiaklTs0Rk5bJMjXNHjpiveBJlTC+QQ98dGd5ec6toPYLTlKr0KtQ5urQjsWAiW8tg
c3cDU9y0ecxEGevDRu21G7nwHgODvOMqCV/TnpGXp/ZQbegQrOu4u8PfNTk0ybGwkbvLZPDfKumt
SlLpJ/33KukGvc1r9fdT9vxTP+okGVoqKBLS9RRqIiqcv+ok/slS0T3pTEWoikz6OD/qJIBk9Plg
m2Kk+DPp5L3wiQGHKIo6pdTbsf0fwMVkcz5F/1In4UWigU0VN7cCDHHuZ71rxHRyJjelYI0neun1
EsNLtqhVkf0/Vkyv3JliNJBB1WmC4GheVhz6vr0RUyKyzRgMwDwhDQNR2w/ZUNpdREnU1up2TneB
Gq7US1lqUEnimV0P0LSuZJWzBgwIHHSjz4Eyyh+tSYocNAAvWQnSUwqmqzSEduH1Oal6uDRtxTdO
IMI6J8s70fYLRpxh3k+2ZFKqtERNAc2Tr2JFSDZd2rfQlTSmooG2FgyOx5pCfhnEzgx1lp5pTljE
1/QcXvu4vMm7cF+kfeVWoi5sokEYtj5jfmdqrOIktvozCNprq+S3eFJ8gMzeQytq3Xog0t3rrQMV
MI4gOQGZ1l2J8XSftsWdFZU7ULPPooCht0j5Y6deZmge7UmAJjar1w5TYX6bLPAIcE9LxwT4PRoE
0nsJ2egCKhE70IelJXsvcaCQEWLmSw/+tyGUh0wuHqMwLZEKFJ4TBikrnTZ+nUL5KFEcLXqzuA4D
H+h5pJQIPhTUXSuIk8z4Aq7nAfJyygrMlVRR0uQwAoalaPUrmeNcK1lLqZpeJ9MMF5rR7bJBYyBM
F4HClOl+1taFo9K4AC6JIdHyAaegF3ooWpBOCOHcUi0W3SBrJLS/erg4odM0juz5X8DHf28Nn5Ii
1jK3Uad8KYkN5XVCDEk16raBCx0ad3EVVNMXs2QRl9A+OUHCLLKaFVyZnm86ubmPovyqFVNC6HWq
tbl0mUpydVLk0QqcOkm/Gnr/ockKC8RmvfOZfrudkKJy03lczVrzoP76HJNHKhYjyUJKauw4+WxP
C0vrvvCIq0j90ilrfef1JubwEjtdo4VfKO18p+nyL8aggCkfiBSrBW9aew3GVHo4WKl9lZEjGZCc
UqfCHVQfw2jj3xiewTOVK/IaGdah8fLBIfrbsmFngOsuZyunqlIE91e6FLCtKihVh9RcaLW+T3V5
DZ25cTrfIkqtrt1EoAllBEDCZkEWqIMG6yjhXDjvTvkgbCrkFfbYxy8Q8x+iVPlajJBzZm46DtdX
FqljJfsp/mHzCF9NXBBFU2FPp9Kkv3JWCuUbdUZh10WwVpLxax9Zx0HObkI4/U6qTU9J2UB2FzR/
SVZfRIggfLbGAxaTl1eyj14uiuLXaILCM8oeYp8et24i6HatohWwfBItA7/npQ6ThVDED0SfP0hV
QHXZqV8qMXqGlIaQocF0W3C4scNcOcAtu4eCuIM8skVsIy7EQQNaWGw98LlY8zkG4FkFaSA8NeW4
MqJ8n1dpYvcY3+zANx4bBBfEFirWuisMy61T+Hu9xINX1pZ6kuPcFNwSBcW3f7fFP5sH7BL/fVs8
5Bnb4uv4941x3v1+boziHwiCmf0wy/qTu/WzgTBvjMY8e9B1XRNpB/y1Mep/WGyYSIU4FM80zh+9
Z+0P4jQAgqEBkEn0+meSYGjll7si9A6AIWA8FSY5yqVhJS0SFY2EiQNHmbplIXqqi8/2yaBllhvt
A4l4d/F05Y3diky6hVyaV23j33nJxJo+YxYLZDtlNh7g+fnCi9LHdykEEpy1VbQCW/VVb1Dywvnf
FGm0Fv2M+rnNERlXnhN0tAVlUXoWsq74KjVZSOh90i94Kz1iVyPSFSt97fnVNuuROERK8JCi+8pG
62lCG5YUZuX0YflljOIrK1C+VLr0OHSj7OjNcCAOL3fGIAaRV0a7tkVwq+HMehhF8zkk8G+XFbje
pV7TXbGI7uI2eRZHY9qoKQI/WNZodKf1VMrPXZ0erQy7nW7cWNUqxqJcWjkdyai/a4PwyQyFdS/m
D3Ul+FtDLlyrVp00645ShEEA89EwhscZJFmOMC/Ik/6WgwqkqUISp94frZmZmIfyRs2XqKbtYERY
KN/45aFCP9nET6UccCYoolVdT3MjvXNBL4NS0CpamJGMskv17Fyrazrm1uyGZzP2hD02tH6dN0YH
uLdd9HmE/hIIgEj3XtUDjvtJsi7z5FuF7sht5JrGaCWuKn0KAEq359G01mLEqU30oN0EGQrKEJFx
knE96oZa8ycGBdVXcRrZHURG9ubk5iimBt2z5ijXPdou/PzWMS1UV48AkRMcCrMsmGBbuYYGhrxR
0WMmokaM4kxj9NFYOnrfSXYSqwRqGzW+8bBJHc6nPGwhDOYmJQazMb6g290AKmiWbY38kaiPWXV+
1RvghwwJrUWpvIwzPUAto+tMopUU8M0JhXKngXYr06RaMKU196UgbRIzPxTR8Nylw31Q11+L0iRu
oh89d9J1TpHg052x4rweR82mG5vc7cr4oQ2p7ibmOXNlcgWpTnHiblgTPp4vIbkBPxr13o5JFpPh
OAA5/c73scuL4qRWAUxWcQU3BWEobYaiQ9M9JspNBLANOt2ukfpDPsm4TJpsS9zrHprGRk7byU5g
tYHd+BrV/sYK/JWuUpHpZn3b1+FN0Qp3KJo2YpZv20p9zXV9E4v+Ceblc1Ynd3pc8qFO/V5VIIy3
+aHtYnaeeLhK0m41eOFebXViPft1YeUbaZ4djypZ5sHWV1HFVqOyK5J+19fiWQzUZNmChfP85rE3
OMrX6kS3oTlRIZGNNhnbypKvtbDYxWG3xo/dcocpYXCdfCKX6UBpi961Qws/Qvn05Zs6rx84Ke68
ITq0AfgLf7zOgFZRmwcPcRIsmcs++LGx0vx8neqhuSHAdqV3fcDT0RwU8N0ObVjmHf6G5utVKnTw
08TSCdpq01niozj0iWOKSeJacnsN9m3fVkSgTAY1CcPZR4Yva6PlCDs2rky14rRo2JVEf55Ma9UL
TD0suhdh95QRmFJr4vepxhsJEnsxgQwN6Q3T8ZyELL2WSXFyErNP5KWZa6x9g6JsSUmeFpWe7Cy/
3atWvBmaFoOrZO2CIDipXbLz/LG30T8eeo9E5dDKvnYhSHahSqDxWKsyt45VRnCxCYYqLUVpQQzi
fUgu3SCpD0osEI8T3UzzVwji+WshDbyNPoGFPbWE8DCI3UmRpKNIQlmgGyQlj/0XWaA7GBY++ueS
xlTDd1FJ2jJrIfmUZvpckNQwWnSFm7Bax3m0irOid2tdukfUvC3rzg4CpoiQzDuAxY6s3uLiXYTh
9DVKjJuJocU+08qC8g2rbZodhDnoyCsBJE7as1ToK0P2bFUBfRs1urroq0FeE/bAu+y/xjRObKRG
IgeGcQ+cWl5KEmwfEQyZUWoVGTlBAbaZik73xXWdto91H96UdMDH1r/1qnqdCXR8h968h7i14p5v
/TF5aMoAF5d6jmdgnNg5cqSPLCvDSlPzU9/4t6E41a6pd+v/x96ZNbdtpVv0FyEF4BxMryTBQRRF
zZb0csqyZczzjF9/F5x2YjlOUr7Peerq7pIpkeAZvr332lpKJmN26Xqwb+bU2NeBx1tjnLWqJjuI
p7nvzLsEYcfXEepg3yzinDHclMI+NcSAbR+pyEz9bqiiRyuLWhZ/2zmaOfGDjEveNqxs2hzIV0Ru
z7eT0T1BGqjt/EkIWXvmKDsnyD1oV5ZLBqDP/VmLqpXZwzoMeki+fZe99hDgpZ3HW3YYYhbAujcl
uLiRO4VVtHsVcngf05Ytpvf6C07OFEVq05e8bojLUKmdTHmyFnFtrNC4OIin6Ye+CEwG2XaNFxpy
LfQeR1tlsc1tKAsuUarLc14Z7VNsOLCYrbnW0IMH66YZ8hnz8IwGN6TSJSdH+y+iL5yN2dAuSehc
9GV0bbrJVo6x75jcIit1G4Di6yqTdJHIOT+7wGSM6kkNnHex6Pq1AU+uT8ZdB1jIF2372sfd2kjc
Z6nEqR+Ii0DgzeD5AAvFodjc4xWfNq4TfmRlfdRFvSffdNat8U3F4gj+EmkuxE0cMQxrNPFUztbR
ibKTilLB4CiDI4hNucRj3bFF17QkbOxanWPm/2lS3LZNQjVANh/KwL60xmjPRXIVJOUBOCSgLD3Z
RA5tV3Ysbrwhu2spC+uLadpkeX6fp0POxD45Mos96Lp28hjochTamWN1aBWoyCQ8BE51DMr2gy3F
Mc2Ni1qw0wp3m7jlJ+bFfpwEN6PipDBheZ9V6NcMia2qfctC71LL83XDQzeO3bHz0k+20GnJ8PJD
oUe3tRn7thkBv0T2ERk91qN+1yQa/uOcoce0lCE4gT9DFlc9PK2l2KpjVNLGxj7rzCdcTOs0Nsat
pREdQjXnaFHB1UwrVvfkKSVYTRU05Yeo/l6C0Yl6goNWxo+ep3bCna/1HnpL0hr304AkH5cfCiZC
DJRNxM0++qzqol+P8dAhMYsrbmxXKhAvo94CiYxLwFIOPRzRwYt0j8pVdeyT+a2crKu2BLrK+t5e
2iYPS1AMFoILwk84lYavJts9F0ZxkUvG7Klrb8JWv0mldpm29F5pgdg2DVknZYVAzxt8z+FkP1sD
gSKPlQZ7+Hg5ji6pDu5vozXflJr9bJqx2pZR9aTj1F/pdrdNmj7Fy81f7Spj7y1LT0X2BARZuA9q
bpQYEk4l4nYSaPMZgOaxNAJaP8iFbKo6Y4AKJqeaKjDR/DcS/hujh58VjeWOypYDo3RYaW13OdMV
sSot+TQuYLMYaXtTj0Q0qkleGUl0Bbp7DdUwPDjh3FyW2P7h1wuwNGlwMdTqxmvSZ6Jccr983W1a
6Ih3sZtjHxPPbtje5aW8QV6LLj2RMzwpD0Gp35u0nM+FpZMl6ZjvFxs9Sy6rQN91jqyBq2dfsH1A
jBMmM173PmmLi4jBd4JK1qfD0n3TPk1GdeuN1VKv51zFRnCVQYRPHTkxfYkfq9R7lqO4xVpdHC0R
535H8dnWbOXznHkHDyDQOtYjpImef1irjG1hRGDlc9nv4xS0d0OMMF4HMtPF3WjEJteIukbEdNNJ
mihUwtZ804jogv01GxxgHs8GxOyAKoLDgr3v/VjRjHR9NM08Osclrq781MzjypN3310rr3+fUn5v
y3/vEFqy68uL2Ia0DWhFXCXfv0iixlpoTRNBjDxo+UnXKOiR9+1w/88vg5T93Yj0fy/jLDQUHNno
QMuv8d2IVOm6xy1A5+BufhmKB038S7rgJ/8+gjgdZ1Sd8Xb9+F413mQXhZ2l53zgQdu76uMv//6U
cJu8Q7xRS2j2/e8fOItuaVXZ2eXeYV1b/6tR+1tI0g9xgt8/hu/enx8+a2knBqo27w8V9Vq2TgDs
Q39Ghn5L480//yk/eSnwWfbiHbQw2Xo/fBSpi4w2zEVyBntG1INJFPzDQNLYtYag9c+vtfzaf07G
v37s7z6WHybjuhFlvWOn6bkUa2Qpi3tXu2FNnfrtP7/Qz/6o7z//H/6o3Ik9EhK/vxBiMe3LY7hl
H1m24vJfnrXll/7xj/KW4IfL7ijMH8FIwqKOmY03Pzdiq9KP/ehb6tM//zk/e5y/e4kfH7e5sTgr
YXI65+7HWD1L7f/xOC+9pA5YTISLr7Ob776OcZVardTM/ByzAqJrptP/Y/HCOKKDbxd8bezFNPn9
Fz7Xcs73tlGcZ+fj4Fx1ixGi/Ze162cfOg8xLjJJsYuxzLi+fw0vzMoceGF2JjxHjHcxIlg3PeBJ
HCTiX57kn7yWq/NnmAa1fSQJflgnQ+UyZIut/Bwud2o/WnLEvlMhNe/M268f/n9+28We+vcjz6uP
JU/xX9y2/Mwf407zN52dig2EIIckM/KdDmj+Ro7EZFkz9CVOhHr4TQd0f8OFS5UAU1LGkF89ut8m
nu5vhiWXNgOxmHh1iuh/QQcU+rLI/Lkw4LZdZqqsQph6sWBRJfz+eayrJpNWb87nsmyYv3PEWNUe
rr3Smh6MuNqpxd84GNVGld2r3inqVEZqrUZ5RFRJMXBoDx5EUN2aTtZMvM8i7AzLpsV7EZ3tKN1O
yr3W08BYcz03/YogbTJ6p0FYl0VW7NzA23exyYWCRiDXZo5aB0tPmj3c2VbRbSkXedPs/IicSk6p
l8HJsROwzmWiVm5l+ZOJBk97zA5c5UG3EB1K0310SnHNwf9sYR5edXUO21H06WNiT4DLEwi4lncD
Cfsu4HiYWzhAJgsmQZAWELZb+TYUQXya566kvoLXmax+N2t1AC88WOM/3XNp0bfBaDDySYeQYUik
I3gFJeRbCv3MckANBU68odxgHaXW1qvS16CLNu3Er172za6rajKOhYx344wS5+jhthiSPa1O/hi0
YHohldYyNQ7mVByFnkYXhmZdKGa9a7fWgRUnTBQTpENvsO8qI7Lphq3bNZNj/gqvlmfIW4d8QJEq
Zo+ancZKD4zngGsKKAd5S9eDemkC9z7WyONGmtjLSb1xSslXGTFVGi6yTcNIl7AMtUealPsihB1d
JZl+zyyUlPFoHbjDjRsZlLe4g/dQEpx1aBF6D2ZQtVRlKtID6LaGnsQrEIrbiOuAP4fR5FcKe4kV
JJ9qgwtaXxm4SbV5UVzBoc5WQmeuG+2gLocbDav0th90L2G5NzNwCio/2J1m7QNU2fWgucmhdK3N
6Mhg3UspVpxN411bWGm1r0Fsqjt3cLULww4/B1pR+q5KvIu5DKn3SetDXQX3jGsxCrXmXmrIlqz/
1Ah2lt+7HPj7vDjmbn1qmuxLMeY1cOwBG3n/VDaMh/BlPXZmRdsjNsV1r8onmoF032nmyy4fL7NM
l0im8c3cuj0m7WDXogHjS+IroT22gwGadpj3scnNxQ7k2cHl3LmgESIcavAqihU+5x3mwcvUhh8C
M/ZlLtW515MHb2QKnlH5FJgVZq2JsXBsVJFfx/DZozD/6OnJKQw0qt6D0Kfw9ZSn3r5lg14PjvaZ
7sCHQpsATWlgGGNT/yyi8rFP3I1Ge9Kqhujysa8tXzO0514y1hha9yRGPC1oZ8mNncgXYlXHBnCq
MzdHrt7ATTEIRTNdfoV1HovCPAHB3aU6863SsY9ipHei5gatmeEtBQjdKommF9O5TzRfTu6xjCJ6
IOMG7HJUr/NSu496x1i1SXoDUEXDw1U/l1p7G9udwng1X4cWwA6bBlIxAACOYl/T7P280FVooAaz
UJMMxsG0SkPv5HgemIXkHNGf2Ek+dZPcdO+MwS7J5hfP7ttti5Jsu3tGafEq1eJF8K0uu2E+eGX0
ClJDxwlgUBI1eMQJ4rs2tV69mnx8NwJLzivnkWrDfG1kii8x4OKVCFvc96yFK29Ox12TU3fxexb1
vx3X5ED+DzvuW//x88/2XH7qjz2XhIuOkUbH4SLIgXIu+uZRRmLEC4OHhrVgyZmwHX7bc2kqNm3I
8RyYln4hg536257r8e9ZXwMpLnadXxMZ6Rf665bLdZLKIMzHvOCPIqPqolJY1Heeo/xaTM7ilWDa
Pbbewzib9ONOZrXyzPzSndNbd5KvU5lqawevKV3nFMxOUUO5V+tdNIl3Fjq3hVGzX70wOaWd90hT
xYMY8F10wbbSbIR0ErdpmZW4IGxzjTNsp5vZJSAAEASq9yDgMF3SK0gUXL8Q4ZJHm9QJLG2b4wBc
B5PdfFWY1hNFLY/BNL9qykVYS7z9UHUPSdReU2oLJ5eeS5Jxd6ALH4piDK5U314UQ1+uJq05Gi5j
ypFS92ws+JtnWovFqnK7Q+eGWy77Ck5Jvs1D7UNH2ysglRU50iuufdtZhlyNHEf5BAqIq2P0wf25
rVygRwIeNR6sz/htz01i2LDYq+lupmUo6hUV8GWznquR/S8WERu3pJI9h8nuadZzNiembw/KIQqh
pxdUeXibajAaTOJqh4863rjDoi161sabOJkM3kyrLrZK4CTMBK1HLI9VQltMLRmMdWzaq84qcFaP
NsrkgzEMjFaAIVUhFTCtHlKC3PY16mcQs93g1JEbVaD6VViRmK/7STPt9HTcz0Nv+x3kllUcAIXV
Zb92ZkWPAHgP6ZT9wv15K2PrlOpQ9Elyv8x0KK3IpTPgU91DS2lrBPhEWSCQ0oKkSHOYuu441k7M
GDbfF6au+WFSLvUq/cnTCy7uiFmEfT5M0r7IStTFzJo+VoZVPcgMYEkm2eH71VAOB6j9O6pkFfZs
hV08Unti0MU6qMRx6hJj5WnwPiYNu9OcuY9aDwjHrrTt4Jngs3r8RNhjXTUcZg/uvl6UNtGcnDpH
emFxie2iKHRWukPGylRb0QGP0AiH1nX3ODOJTy3zSyF4z1jgn3QX6VslD3BInmkdvh5DbJFj62Kf
np+amuIgHZ8rApqzTlGQ8rG9yDqHpzmen3pIO0zVP7Z0LtMiccROTHlC+WzTz71RAmksoRx2ldbp
PdvFQ8jFdlV29OfoDhDssfXLGXN/6zxXZJhWdWefapJfcyh3ulAfDEhHO5qt11nXvVhucGviEHaM
/Az94TyWOjBpezbxtfcUUNr55Zz0V6YItkn+OcE03THR85tB7Ypo0FdeKjFI08gd2RYRHsX/QtM1
r90AOm3GNWmwj5lS+drSk3atY8GjecLEGTzd2zOHhrFInZWonXv6Qo+QTJ5nNzyl3ngjTG3H0Sxf
eZX3WWX6PvNcHiOnOqCj8ACqBX4z+io23+BqlnyhjHse4yenjUKWheKqjSCoeOKzN0+1H2vDdaGQ
fLLGkGssyQ6NV9S9pHaI/N2ip1jJmF5PiXeb0AK5jKKrg+pD3c8mg+ZO23sdVfsxSatrZVCPoRxL
bZpBx9E/VR7HGutYuo28noW706YiJB8GVP2uzI1PahImisP8MBfFpZiDVwOVoEu7aZ8pT/PbxLwK
Sd8tvqYGXhASjpe0b0XpzHSjhQldlOXClKrY2FuPd8BzSCRZab1Wsr6cDefYmsZF1BkHGOq3NUoT
BB5xsGd5BZzxWGT8lVFSbco21FF/NLkhdbyJw6xDgZW/T8H+2/KXHfrvt/wz5Q/B20+u2fzUty2f
WJI0SBhhaHel8TW5+m3LN7gxL9wBdneXqctSzvNtyxcYcR3bAh3iunh+Fnb/ty1f/IbJFhsuJl1h
LVbZX7lm4xz6Yc/nus6FHccT7cBQHRbP7/djn8o2pmhwdEW00Ah9MaeJtzY6Tx21sdKPudPQ2q7p
U0cNVXgRqenZDQwIrE78SeBxQ23harsnsYSlsRL0bOhlVfojXWiUotph8UjTrj2tAS02NFLw9YJa
FtkmizbNGjJV0VtLeXm9NXOLDanhHpAjxeWsj9uQ3FPlt2ljLoR02W+rOoY0RsbF4wJC3EB1HqeE
qATtHVNeQxy1/qK5ARZbHJMrK1Io3yaLiGug1y5JEk1w3YPyhtY2BUSqaihKSMXlXDAz0LlYDzeG
mGkm8pZc/qUs0gMFD4cROWJt2RRcIZBa66Lpu43ZyPCylLTYldp1zHf+tlTusS1DNrOAYwjwX+My
b4p6bWpD4k92TEan1OKNU3XnsW3OWkIvwYBnYzUhv7JG0AdPqstjaWo1gkViqr8kor2LUv2OOU5G
AUva5tdalcwnIUltVOU2KO3wqYjYiVt3raj4gzdEz6sowi/c2eK1WaITmgWtdV7HaUFkd5ptDdvS
ZXdwaPPZ1FyFiId4+xKqJLFNfMWzY29MIw/PfUDVcVTGdLcRfWpHrbi1B0RZynTJnVG241EeVpqM
TyLtZMxi29t0Nk5dKR8aDxIs+x6yLH1bzFiiFQe99YgXhZyvUz5baumcNzTmE6ucLpt1QwXY7ruv
4vVftZi/DJb5wi3YC2YCHLiZZb1/sGM9HHTazuIrk06irUgH82M48T4NdLz+j1/03/pnsVz8/fr3
yHyx+1k/6vJjfyyALgF95vq4J/F/GO53dx5ymZbjWaxjzA31dwugpMycVD9IFjSi3/Gsfy6AdOaB
viKu6Rhf/69fmDO+f0qYMhKTx4pruSiD1pL1ff+UjLoW9HWdd1fzlGBEpzUJcze8nn8ZeDM3/WGd
5YUsalhZtOEAcQH8YZxppFzcbQ4sV3pneQ8M4DSbI3M6zXtYCNjaRZt38tA0ar6LTSKC0LLkh9h1
gueyiIk7BpN3NBxuS6VTW+N1OIlbMRV9sbGnwGFqkMSNeOnHynavB1X1/TY2sIH3so9WdqKl5yFO
uaVEZVmYfjGkeKjofSThzTwsf4qSyfMtl4TQpsk/WakcrhxZpmfZ6SWdYWWSUtajoDmmnA21dGle
daKhEGe9XxpZ+zQ+120yrJAQxnXoXdNF/2ZR45pXwVY1+r2D+TrH8Whp9L2aOn+FVka+J9XWy3xr
zA6KRBUlm4TaG+J76VR9IdZ3O9Mka9Ao24n+LsUsTulMHT87SdFsli6Nk+aU9VXVWPZFGnmn0oMx
MM8mcHBNE18k7Ne9VKF+BaIOInXPZSVKNTpqB2ZGhEBABw6b2XT7DfMhc0fg9WEytCeqa6oNfU2Y
l9qWAyO0XewQtC5nPhf4yEdD4Z9oMToldv1Qy1aMG9vNw9uGTBRHN4IM3qiPTzKlFoL9G994k3T1
Rmo1KVNrvq3s1r0INWxe3333frLgLYHp9xNzj3/O0qHxMNOnkffHrXxiahhgtbpqfLqyyePezXfO
SoPbDtBgT6Yr3AQ+nal+7YNPv5Bb4Zt7tf43bNxXVMqfk3t0SipXFh4HxCFdJ7qyTPa/08PYiocO
0mRxpczggn13XCcUXsI8lDT+OYnnV1yCt7Vpkz9FCToFTq0uDD4jvI/ZenIoAlD6RDng/IIvx9s2
YCaJMpZbIKMvHMCtFc7ZkK1q/FClpQN9Eqin08RiM1I+RmInzlYW+IFJ4Ak08nXM9l1JVy1ox/0s
sM+Y5o42QGNVtTUPhSfX0B/28YinWmCUKMBLDENwaSousAl988AXMYNlcbPhS3w1jJ7YVQHUPeqD
HgKSRIbITt1IXb3mljs94UFzvIrGOj3+F43u/SKyKMC0C+F5Zb20mR95PywiHlMYr8xUfaUTs9yx
EICsqHUgh1Hoc8mn3rf6t35Ec9Hi3n2aP7zmD5+mNvZO3SdBA01UsHHXbOMEZ+bG2csMUlbF1S+w
sdk6FTVgaUP4Q+YT/hcqAF0NLSVyn/QIqE7faF9UIrdlVVG5Z9/oav5kBdVLhjcca3pVHr9+Hf7b
kyXzv7/fk39vLl/X3fzXe8nyk9+2ZeaNlsvGx0UCW8x7/rlJ2A9jNZrbNw7Pt3uJw5CSwSDPocXl
BMX+z3uJ/ZvLdkqg1wA2hcvG/pV7CdSGd48d/xICMRZYbjqsZsuv8n4R8ZRGcZ7rYmIcI9JZi8+x
NlNzkwIpiGrh+ubihmxoM1qnicPR3GoPlWUAsyEyXWTZcIHTTKyyEIJOq3f7AGbpchDYiLrAZpnT
vYfvzY+d+HVQNeO6xa/Z5yTZ2Klz31ncnFo5edcUiz9Yi9uzGgQsbwyguL4egqAt1nr0AbPifQbd
7+wYSlsXozGQAOTUrY9GdJGl9N1KlLcEzLhLgnk1duabodXdNuBacJ9X3t7GbBqX47TVx9zXmvG2
MgZ0ChCBqVZd9Ug7gax2lt4wtbPQbpz6jrkPoeOpODWWg6mxFbsEQxDTjebTFFEiXQRB7zuMP9Yi
UjtGj3fSm7bhKDm9s7w1dR0d+tR5MYzQWQ/jQL8KDjd3XpDJRHu7EW9dwao3Ujq4SWsan9i1VAA3
2NIM3pou6o9pRCQ+s4IrdIgLz2XQgL3Ln1vtcxynULwrGsPJZe+GeYjWlXIgUvfUOuLLQffkstCl
7rUIQO6I1qDyF9JW24rbmHFV0XwG0PnF4Z/rJt6yqGLwFxrNx7DL5bqBB0kyoYVBy3hFLJh5/BKr
IqWSb0oloYKp2buFdzsRLLmuMuNUjfHo65VRYsXm4IB0be5m07yXFJci3HobVqkHrA/eRdXHe3AU
0cau1JXeMNNElNtiOD02Rcupqti0qb7DHLotRi5UhhV98GQjKWnmhqqaLATJXG3nyIENPD2ZRbaV
ef8ihwnXqehvWQDJiM7DG688+qNI33qnMs55AXq8MibK5Bk9s+WcvE5Tl72oX0nf0NFVG+aBUKn9
EmqZ44OU8FCXwdH6+gw3jgAhZPDyisMHWPCgaG7GpjDJi0/L6FeUFUho2/3slu5w0UPJcJWzrctx
3wq1nSw4+ULVz57EoU+rORmAkpdAOiphYtcDQfvO4i12A4WRKpwfRFkYK2lOw1qUzp1b2cfWmN7S
sEo2RmLdwoYPjvbc+3PG7JDEiuFhEaQUb17KTD/Hc+kd2sL5PDoO11QXC7dF9ntTGM1NWwE/UPVJ
JajeTj2UF4UDfgONDXVX+kB1lvmd262MceInIJ2vqHabOOaqL2mprumb7jYya/VzH3YocJ00N2pO
j5WZ6/6s29U+6KhIJ5cD6OFiiM1mQ9vhc1wSGLZJP12GUtNPYqitN11XyX2hy3Kf9u6kATcIke/+
252YcVn6YuD6+93pOv346WcB9eWn/tiZFpEMTMH/snaLMeTbxIxNC6MdCpmN+fGrxeSPidkSULfF
Qv4BKPZ1+/ljYrYwfrCmcO2CjMsByvuVnUn80N371ZjCRsGFEQqcuZBQ3+9M/TQgPUtnOLdjj4m3
TT4U/XTrFH3vp15wzowq/sRQJl9Fk7iH7MDCLTTkfmf4ooX6lrSghMvAWhC4fIfzlNSAw05EbeRr
HeBTGFNWS1ztt9JLA6SrQu2GXp3cDKhGWDqvnYju7H7+EGIJwIkPTcIs5XoswozVq7wQi10mcxZM
hZdv59S847XIAxu038BwgIQxkUx1yUup2T61ifeASROtOAk+x417kpiPdTmew6DZFw5yAiP7GzPU
9a2kBG4Vy/56NEmm4OUjJm2OXPqWHDezfQS+tag6RoASp/hQGnuDopGt1xIVR41zWc5L4YtE7WzQ
NKtCZIzZSnlf0znbT96mE8Lv4KCsqhoQb5RNB4L4ct3moUtGaH60vM9ZoTgFjIvt4cLp26dOn6N1
GVNpIUXUr7oJRdDuOXla4/TW60S0DWfrCI1yDD18DAzGgp6rEfvBC49/G1lusTk4FH44XNWCdVDU
j4VmvZJDPMLvwug/b2yKJ6rGOHQquTEnMmOBZd+6vEOKfX6lFfV2SNOrWnq3dqS/JuOsr0A/IyyQ
uSZ7NzxkpnyOcboyjRuQ73OOwJ0Bb3h0jkbs3mspgQp71h+jPiYhnMfHWaiHcqyviIoRGCeX3aTp
m9TCl7HX7ktBligcb1vP3uq29tRp8SeoOeiSdBSv6zJwwHKQdjGb6oszTXd6x45bSe/Ex3Q5xA4u
dpBN8gspHV+Z/DlDN29LZ9kZ5RKFpgIhdjF1BM5ujin6rvPiReT2s8iaaZ1P40fZDTxfBim1LIBV
2LfFpdGnnxVPpFeLDCAB3QipfdHZ076w28+9JmHbhuKeYlkOIxH9saq6NvShhY3TjxtMEOGKHsN4
o4Wdu5qEu1Cekse45U2akUW5yzGTkZl529qlz/2HuoSs9ny49gSuwcNfmV3xODYEwQ+C79wzPbOk
GAnwhwEzyLmVoGum8GYaau+gEpJvhdOMOzh3IOe6QQJsNCgM60IGP1r5BXdR65GfqVrEnFDFk99m
STU/9F9VVKsfXfTNgJvMXa4ERxOSCY+RjAtfosLqHJXAzUlKOCQC7aLUujFD39zbQXNCxGU+toHe
nl7g7XeWocQSvRHPRW/FzC74uqUhj3Q+tPYqxJoS4TbldpdtAtcb79wSzbggiTaG8+dlWkuHjbuJ
UJ111OcuyRgkj8Rlc9sNN5CJ8O07V6OUK4K0UPjdDxFaduhyZGhRt9n0DhQ7Lk0qnKqL6zTqtuWi
eM7o4kVJ1FRDKZdhHlylaOeJtO94d41dharexCibqOweantN+fg6UMNrY8vHohBPmc553EShj1OB
kFzN85ILfORKTrp0xutC/OlqWCR+ZkIDzRrppY76z/9qglHiKFi1FqYaLAJmBR1XJF8mvANl7DyW
VXRCCnitG9oB9Mw527gN7K7QufiGYiUQyklfYC/SlfGqj/Gti1uBDw/bQgyUr02ch6zvB74hol1b
gxv6hD829qKOYYqgxIxzbNHyZZr46jlIaU1oHpjrUCyGyAYiDKHZuNAR38BAXtLFBI5i0eXSwWYe
0WccuCJi/p0D5FFmxuwrJD0tnNtt4VWUfXdeBAaNidSiAPaLFmgiCs6B+qhN2WWIWKgtqiFHnE/a
oiNO8DTX9UDWs5E44CaAQk5QfRrwthM5xG+HzPcQufYxLMtP0YxjI2C6do8hbK/l5gNlNdlalXwa
qcNpr0v0jasYyNvDgUmi2ii7A3LB7lC2EIIGPFJZyrNGSo9Bf6oHWn1R68aEspgGuc/8tqEJpG28
FzNrWuf034no64looWL//Yno7uMnincYpP+kr2z5yT9ORQalZJiAQBVCBwDE9e5U5NocmL79P/zU
t/s6Rx9hS901Bf9hWnhyvzsVMSlEkeSSzxkH09GvnIrAJf54X2fkB2aaabouESV/5CeLuM/5Uo7c
XVN3qbaP0Fz6MPbLeLGGjC2WiaQR9DXJ/nmIs2PZjN7O1l2Hr24UrdUU0C6cuwbFZbaP+ZM9Zsqd
ta1H2lFv54+WMucrr2vfBrsCPUO8blWm6k50mn3Ke8S9qRfVtgTqc0U4x4+D8LGFgjroORU2nnuR
teaFrI0vyTg9DiHHB5mcq5TwpGHuvYjTkhdn4SrKRMlN1iByPAka/HTZIOVxoOC4+hY78mGwtZek
196GfimhUZD/xgFXCZe4zxUEoVWia1etjkAIKxbAVoLjtveoyg3hL8B6W+66PccdSt023VQ8hllx
Y9oBrVBAB5xJduuqa3s/qHddcAqiAy1Qt5BfiDirt3nJbOfXtkG6F0rsVc4JYB7jD1nFtRE2T5hb
970FeEWPv0zBYo1IzRuXsjRy/tAQ+qDBW9liuO+oM+nSMN2OLajIyhPVpranuwxq2KZ1KJrHLBqv
RRqSv887zhOFnLmJIfs2CtCk1trNRrbBPgmxnmRQhSDcxrck5c3NiKdkFU/s+EZk9RuroDSrrpYo
Jo6rdUJQ7QLDMnf8kRgaEZ0dPsUDJ6VoU4s2Ih0bW/tOeVPymAeaE5zMZs4+gOlD8k1RPHn7+nk9
CkL7/RgNfm65XxqSe2PYn8OWURCnFBam9usiVS/8FCh4jgbvDpdpJA21BWFjnB09GtfNDBcyMKd8
W8qhOGWzGT1gyX2sab3bC9t7SaIxA7JQRudBxibopw6ZenLvvXw4CIBTZa06Qn94jGvDeNA6ZWw6
LBj+qOZ81w9AiTPJOMlpSIY0OS4uCLIr0fSnEXjEPU8AlnDpFKAj0/E6nzglu91Q3gdV/9qQBTk6
idnjjArfSoMR+iwnnby5caUBYsbEToIx0yyD/aft9nWn6r1JcP2usqv03BdOfp+YZORLIwqxH5f3
hdtu2tbm8NXNlGhF1n60Ob11SoN7AGaAAr+JYLWn1pqox3UGKtK3ImLpxE7wBUfKvmgn/eOoynUV
Do+4/0oM20zpi6CMNwEDppU5Su2gad7wksTDQFy/UpvIbfMd+MzkU4KKvE9JWa/myr1IhnDc9/iP
/br1ZrmpMRCvbMurbwZhqMuQeOLJ7aerhvscXiOyRxjh+GZmPW2fugsAycybk+bOlBYaCfwBa5z9
//ajr/vRYuv8h/0I0G72Exvr8lN/7EUMiEk7sZ24iwNlyYf8cUMXv1kYStiPgOmyXTG2/XMvcoG6
uRhbDBJGTHXf7UWLYIX3dRlFkwz6lb0IYt27vYgxNDou0jFyHNAeF8Tn+xs6/IO0TMCinIHgwfFY
hM01G2T3qY4hk8tkBA2NIVpTWKNjw3tULflatdimAdK9tll65yyGalM3N13bYrHGa91p+qHBe50s
Jux6sWNHVc8JCo82TVYv4KVBgS/+7ayqDlVPJmOOzqLVDuS9Tw12FWNxfneLB7wHVsmy4O5z7OHz
oG0c7OLtYBfrAgN5sjjJ02i4NUX77C0ecyvJb6ZEM4hiaffa4kNXiyOdbXMbKPuYxk9IjS/DYl6P
rfi2WezsxGdwfVtHuqcYcrMgTYv1XS/lOVzM8FCrjzPu+D7vjm6jPpfecIxM+HKLjV4uhvogV6dh
sdgzqX5mKuY3i/meqfOyq1Hr2dSPEf78gDa2xczzf+ydyXLcxrZFf+X9ABxAop9WoVpWy56aICiK
RN/3+Pq3krqyJfteR3juiQd2yKJEVubJffZeu1oSTHwY8fB30sxfcN4miXOcpM1f48/g4/uP5vIV
wF6z7v0kWg0yHBDKmEBOXsCXwYHayR4mkgRNN3zJZLQgIWMwOtWm/QwdZJkE5Gprh4dk5ZvnRBBQ
MEkqdDKyMM3uY2y5a8mz43beqDLc0JByyGXcoSf34JB/GGQQYiAREYW8rHoZkqh4bFYyNpEk7bNJ
joIJg92vTFaQsAAZFTCZI3SHRujlpDCGBpa6Ri6j8V3UdJIagsSGKqMbjs17ZLC6coX36Vse2HeB
P226hGx1VkAaLYTGOll5H43yZrbytRW3T/y7bV6g6Bu946wKQRVRGLfU+MTpwR2ze+tQaAmgMpAH
FhYJL9T90LO75oM3+Da2a/AqeKTxaQRkrZOj1lWrsoBYpiY8W3qludP6ehObyYsxaRs36JibHPOm
kbzQtsAikOfZtYvDaQ1xfm20YPtnv19NoV0iqrjOMplrVuugjOIMJh0KyEYExU1iGuvUBXaTcGYb
ybCPwzZehvV0ql3+7g3/pmUjw0I0onWWhWH9FOYtoNDPVlpLFtQKihQpq3VqimvV0q1u8WTRZquN
0Rrg8TpRQopuhf8BEvbdx7qxDCkwyFWq1Ox8fGys+mubdBVMtuJqBzAZwuSqsTVx4HAsub69crS5
2eyeMUitQcO1J01PDf5wJRo6qrI+xoCXRkoNIZNyx9jzMgYitSx5AbXFuNat6RXyvQdt8QuvJsIq
0wPfaLaasbKbIuWQV+EmTJRdDnaQxPEyiKHWwEGOswkKBD1cI0rGZMwocu2TVtVeaE6BJ7Jx3Wcg
B/QoPtgRVm2coFIM2gwEorIy4xvy2Eoq19hJYAer6Y4glM9omdvelDVeGLnPGUw7FjnhoS9dzZur
yF2PmdUBbs63bqWe8De8NQO+XyA302jLugTX08vpyIS1G2qdpjyh1jdiGPjemgsQ4tuuqd+A7ZxZ
Q3hNbNyrEVA+d8JrmtjYoU0egAnRHxU3bjVKMmOi3pmd/15ZEqPXZ7vWDZxlY/dbLbDHpVKZW0PP
Lr469zxP4YJFbNQczGqh0R0HO7+hpoI3bZIujcB5gUqxaAm6sONhtaVusK5jLe6fVFHuZPsifaP2
KolTzr8xVxalVdzqHezqaK5BFQUAxeNtygFYRv3Jt+b7ipKCSrRXX3R7HPG4vfFKj+7kYRBZW1a9
0oFKFVj5PEjhM6ewvnbN9kbN57UDrGDpovtXpfo19RuxaEX3RY+oBhiEqe80O7hoEmAZBFdtdg6u
g/A2A31ZW/OwVy2aGgrWKUkZxKtMidydHpjdxg3Hi54qULmnC9V0H7qY13lWeo3VrpraUdbIODm5
sfY8teWltZ2HMerCZWaa5BMy08VTKdLnhKJMLyj7j7jpbuCCPKZdvqNb+BC6cH66OrrtsPWJqP4w
g2nVdVp5Ckfq0eP5IdFoRzZ7hDUmzSY3r7XiE8pT3RfFqp/GarwZshDMYpfZLHecZauFNxiR4JKb
Z0S2G6NtOcaNaUebFDkwEhhwp8gUJI89pEj2P0qurZWZ4kkHZEWqRjthyoTdkM0e4vQ3o9c7b+qL
UVp8Xt15Pmt1pmMCsgMvENp6rCnG83VUyxZZ3W2TIxMyx+U0InsX0VMRi0uBCGgkNDL0BRJb2Lzh
62K76+6hnJwba9zNgvOrttG6czN/GCflsRyL+zQSCcqq7pVpxDJrGs59AlPJmJ27mRppL4VMea1b
AMsmq8itIQFIFnIOc7DGI/a7MeF/0gmEdEz84aiQCwRLA2yL0I+1lyaAP622m8rRjMnV3bN2ly2e
KWO5VEvaRJbu6/1tc4TJsSpw7EQHc0MT77ZYh3sz2FIfsvl3wP0uuPytaRGDxP8t3uv8tf72X0vi
pUP6x6CrGb9pOmW72BPNT1ryH4OurJtQMUMYJKSRPVRmzB+Drsl/wQPlkmDGpWPL8fgP7yIKDrZU
fKlM0HAh/8mgq8n++l9+klAy2LlZtkn0C2Sl+qdVlDuaCue/Hp6UhA+C2WftykG42Fk9RWx9rcMN
b/E4Ad+aFNtekkZAV/GHqokfoDESOJo5V095LRgDqjIYwdjaag+y1imm104z4KB6wVjNnaB5B5gy
0iyGdQxvOvU/FeOZVs07nOV10GzaUknDO6dtKS0wyTriwoOnuZiDOb7P2M8/IBnEArOGSgW4RiMi
bTtxuC5LbAMFLu8tzS7I32ZnP+Zar4CiI5j0WBL/ILVolvO0NHIe20ul4ZxMOKEuetKX7CWq+EUx
S24bV6NKgl2EzwNfC5wF0nt0JPRLi3Pmz1mwdCLLX7qFoD1AzZaZHncgWuzsZFt5f5sxsq1q2usN
WHV5v2UJbyKTVM4XQX3OzInkFvOiJ1UzLmwnMpkuaLe9RdGHZD63WbRNa3t+y4QixxxjavLlpJLb
FGsW9jHPW0PvIA06vd5uTPQWhQU0ZPoXqG2atkqIvK2MmCb2fEWvJqu5FWzBWabUBn2eXejGuHlW
U1kHGxs97NrUffyFDV9zde3GpjDB0tBIcKXfZ0N5cvWmJPmi8Ld5ybG4qqugkYmqwC+6ahcKrfPP
TiTilwR7/T1uhpS50Oo4r4dcjdKtquct1kEH/PCu0up43Gd2ZAzv1uAE7xxd9gYSnw9pLyykgQ6D
ZKM0E4oEoJXEiZrnUNfK+lwhB7Dbav9dnmvfT66/XZ7Lk+v4SgaIA+pPNWr6z/tzwA7cIKzPbQjg
n67q31/ngiipxmFBJxrP958PLfs3DiZhO5xJRErxdv1xaNm/YWfGQ49R+58X4fxVJ6ZRx3EIvXAD
2uLPRxZPu67KLK5gtbjUVIpPrCR/0isufzX+85X+dCjK1z+HrsU1y59QmgHQvH+2n1qDneid3XXn
xoj3kf2oqGcX7J2x1fzL0J9wQf/97yfkDfG3v6P8in4yvEq8YcTR1MGWouvL+XTeTJ8unEIacoa6
cPZ9y3PbknadxuLdN1XQBkbA8G3W2qjV2HtwEYmdpYPpnCpgrFqDT013woNZpI+5I5JlWatsU5MP
d1SeZVNhoVFDbQNrIJJZy+Vsai7wKqOppfT9ZEEU4OexNg1l9GuEDZ28SFRsfAaqZcSebWHXnY5M
R4mrL6I7ZaCpo4tunb6/cU0dhSLqD0rl812Kcb/6PGYqYojGRNDXGq4+hAneDfq2KLRLz/KNu3KX
q120SOLgpmABzkP3oVaQ0vv8Sz/rl9EOtz2x/JVG4UTUGhujxAcdmSN0+WKA5Vc3QD2mY9HZ+JaZ
6jC5mRyjd0UVWlurKjlw82pbgcVtr1jD+RddVo/FOQ2MQ8tSjpqzmWugaWcv6/TqK06ig2UNR6ie
h9KOdmMykHLyAXUmp2m2nhCFAW5zRAHuk37k6I3Ov2+pUpirwTSOY2ns2ZB7fVIeWn9gmp52dOdc
VHwOuV9xek8HtP9D58Cvb+dMXQbmcNP06lMFT8QwCirF8/mBOqZg4WdTcoq6/JInLSyF4ZTMyV6l
NHAxlhbyZUt/ajU64BV61EwDJg4P9IeqJWcTK2qwFllJJLkb2k3qiwb0QDUdUkpT1qgyN2n2zVWG
sxE6t02HKVILoZyEYb3WwCP6aXTpcuVu6Fn9Knxb6FBZOZG7sLP2mx3ygtesGE76sHK7rGPprIFe
tTzYg9e2KzjXscFZvCSHul/zrPd4pLH9V72iKBiejUvm4/sdRl4fbZr0t+MU3lq+tsNq4uE5e2Za
X462WYN7VPRlzMMkx0VCAnJDFhzLCIYNIGSAIvt3lUdGDhi1Muhf4AQDpgt4WtejlaUMvDeCC9Vv
R8OMoSFkJJDNVWrnuBX9m6YptjXvu2ZuyZApJ4gynhiUHQfFdXKCFpwzZHqduAHLjkejbrDNwAWr
5EsiN9Npm1CatatTVgERuFh9UvZJM99zhbJWSttTVBd3ca96cQz1GAkPHc8Rr24Xv8a2gwU6pSgv
htgyNPUEuX5gbeD3zvbfcf3z0jOYWv9GjwZl8/p/y/T1v+WM5C/9MavjDSPmpTFZmy45S5mm/Ona
Q6tlxYmXGNLRzzwj0pkOldmf3Z7/KRb9Matbv4Ek0wXuaH5OiHD+owUpFrRfLgmuI4dlpquyaTXx
TgPY+vWSsLVAS9PaLOi4J0mIe0MyD6iFH0cy4WIMtN2A2zTVp12e5Uza9Cq+ZK69z3oaqN12U6TF
yWZ4i03lPCv+SjXoGk1juzikkV2c+Wg9Tqrx7LglW/5Gbv2UdtVPyf13LGo7A5EOEjaVsX0dAwLJ
Cx7cpboCtQkp0jFpU9SoVQSE03usZPpN6IcEzk0OpVxtAThTyDjHNb1JAdBLuPOzX9CoqNLe2Mke
R4VCxxGHF1RcCAN4BUwvlP1sfa8+9LIIEifNIGiGbF0jkXtd2Oy1+QYMPVyWskmykp2SXc8CEQo0
yZA8fnPZ3K4m2UHZYeSGtBPuOHP8XSqbKunQXhU5hCW10NMb01SGA9h2WiwIcywJCj1EVUZ2NcVg
zBV2Zve5lOWXi2E21q3V3ddRZfEcqR6o0juX2K4Xug52e8ROo1d+h+qfd16upOVyMNRq6cpNalJ1
x5JeENAERbqee4UtoLmHYUeZWX/rxliK/AH/yDxoW1tHXJ6S6Fuv6ccgn0+zyHraxWABdXH9nEo5
haoImWA9dKGDVIK3kTdat1TmsV0WshW1KWKd/DfRllRYCD3WNfEn6jkGoktiDlaVkTnrQSneKoHn
TqgNif1hZVTKBhs8oJ/ozFhyo+ssQDKjual6fmb8rrlUkdUucKRrS7WnrdVAwmxyCgXjblNV+tE2
w2TNe0dZ4okutomWe0mpbOpYuSRj0Rxnulv57rGJ6BzrVlji6JappFX3I4UsBgUb7GAWejET/DTa
BhiuChZv8FdN0PDagCbYx/kxMPwvU9VP61RxNkGjW57Zqo9GVX2hK8aGbBhTdtJanhMF12DQDtqY
eXMwkvhyv9XWUHoZlmqM19YuqNB1Zss8tF1zjoqmUq5FYafz+zSmydbOMs9NysfEp0eFN9VNwwrk
mHdJuY9b96VI1Fsw/Vikp2UN+LScgzXzmFc2Ax2/yrpWxU2RhqeoKPZj3JxyurT7HDA1PmkWwH43
7Czf/JgtpWMSG3RjE3W+3S8wf893wpqPQcVko7HSWbN3HReDbvH7GpsyrTeDnIdARWwHBqTafGnk
vJR17kPOTQ0I7KYWhKSy1twNjFhBOV/Q97Z+H1FKanZXDjtMnaDQIQFBvSBn6zOw6cDo0TNYnzjt
TcFIZ2u2NFjczbgKIVcz9YVy/hM1+y8jo0jODTQGIDkn6gyM5HWDbSVnSCGnyULOlUrHTw5dDDzr
5dSZMX7Sq/ZsG/lHwViayfmUvPTjnAcHU4NkNsoZ1pTTrCpd7Dj8vzrS1w7C7QjTlmNCVS8sRfgw
SBf8gB1el754FYN8J53ymTXe6tI7r2Oi1zDT08b0PGGux7y5dqXbPpO+e8fAgU8k6SmXnnz8FsSb
p02PWV8t64uLeV+1KOWRY4yJrT+W/v7ISrb0Q0rZ0HxwOt/jd+6XumvcazIdEMqcwCwTA6XMDlSK
OI4yTWATK2Ag3VJCh0VPJg5siLZCZhAohRELk1gCf9YInxndEi6VF6HMLrQyxcB2bIVS8BG4bxEh
h4awQyJTD4KPINjelOnJueBRWasyIeHLrEQpUxO9zE8MfbwJZaIiktmKiZBFxP/OkakL0yTDTgwj
JDTKA55khiEzGnxDSWuI8VY2Q2lZiYwjEx3Q8rfAfcl4OHWwGyly8BXe61BWaP5C7LC/qM0c0QFC
6kTGRQKUdyWs7gQ5EksGSoLQ6lajDJm4pE0Swc5LafRNLYMofVUdSc/W/NSUdx1ZFUOGVhS92nSk
WMykPA0y1lKSbwna8VadihUVJNMafeumIAmjaERiwnnq1gMpmcTF4dDY9jULbbak6awv/52nPucp
WW/7v+epl+7r61/1A/lrfhqkkOxY3rM9/z73/DFIaWS5YTFCNkbn+6Q//hA9qdjlA4Lkia79J9HT
oSIH8yZlOEJqqf/MaaarfxmkCLdSAm8QcpWOKYJmv7y207ZuVX501XNLWZvv5iZ+cl25EUrH0ITD
6Ep7CDNJbrgnWdu9LvjJX7YQaOqCJulB9sJFhmse6proh/HZGjdYGHZoU3TG8ljTKlH2EKda503j
NcbGbsAPxCkx45t08U9SdKJ6vBQ20GjSRe5iArMHrGG4Lg0Yd/ekcHEWleUbahnnb/lQa7hlDECQ
4PSqt1TaOAtp6Kxwdo7S4kmnCugYGLkbHO/GRdHp+rIGd9V+kmYGxcc4DH0mBUMzgaOxu+DNz5wB
OxLhlkAyaxwIsYuqUG45R9KLK8k2mWTcpHrNem+ybc+PLAOuHrGt3J8ueHHrVQ0mpwGXE5rVyZH8
nDJMniOh37eFW3oKiJ0SY82KSt6HmkxcVDW7ziJ5m83ali3QN1VyeuKQ2k7APbkaHxs64DOAPvHs
3muEuQDPsMWvhXoPMISEAN+ENgRmmEoykGjN10myghqgQY6kB1EVTCbXpGvSUC+OJAyFfnSNXF5d
SjYQYJomlYafvPxQ65JNW35y5uimn4pgp8cNfaxIBqOpUslSZ1TMWFR/WSnl62Xq2TOuD976bIxz
V3CwukjOCUmxmhaPvHHOriinDb05MIqseIfQ4HKY1e+iAhXpznZwVbDPLubIxCnbJ6dqEh8p/CNr
UVvAOTl+oYIBFFnmuawPSsyAjrYsWecpJvUgKc4045VLNXXOTGvt0rJcYrNT8ZEljIMN2PuuFqey
KHnQMqxR5UFQT+sYfDVT2cRjj4NB675YZfhIJUZH/BMWpwhz8uvMxbA+xCLNIYVicXi0I8wmfvGV
nuVNBxBmb+TKVXPKDwPIbheOmw6lYZmTXl+qbc2yAN98aWX7sTVXRqCfJy05o1WPS1fqI2oRP6mD
/2BmSrMlLQKqV7EfqDs3+bLFwS/J2ytOBzKqovm1U9XbbGr3Kl0eVRLfRhHexi59GdT6K+6ugoc+
KLOp6U9OnXTYDgcZt86PlDdCKTKUPTWqBrZQ+RLABehhoTiolfZGFlz3mnZ6KnXRLXqtXJcNVOKi
nStvGvtd4s8qHg/1NKTD15C/65WspV3mFs0HhSifdYoiXfaeFtWFsewwdDBMtuqwtusq440wVKgU
YEuTGCKZ7ECcZBtiPpnfJBpzqARuOwoTK78WVLHQoZgQIY8pVXQoV8SX8qBRtqgpzZWvjyyqTFoO
7rGWty9fsBfM/YAJMTk6uAnIP6q3EKq+TLLVMTB4ZbEIGPdKMim7IqP9MYe91ifVndEp7yH1kI7s
iSxxE1JVLNsjfdkjOctGSaBrq9qvQM/JtsmM2slYpfLS0Q1rWWnNTD7FBpsmeyonh8ZKisPP7H9Z
2Ms2Sx54cOGC8QppE5eTqb45svvy33v2u27xt/fsXZG+/rfKeuPXm5YMNTeYDRMEUzdqxk+ShaFa
jm4jTgCykf/px03r4LBzofILnVi0rakICT8kC+c3leS2CpnZENySmLT/ARpFc6Qk8euiGlM3y0oV
bx54Wuk5/1nXNpwsro1OTGenDeoLD/jsNtJK+7lIDbGfhiR5mTR6mJ22V49M6j7Tah+Si+05hNyh
vQvVIt2QaoluLFJsK1tpIU9EVbhysKikkoDaS7enKX2f+tjy63sWGh4OVew2BSFVxXH3oyC+0bRh
u9VKPXmLfDXfxDlwVfovWTXiI/+ShWGwRyWms0xpY4/EJ3QosuM0gk2PrqBeKtVfJz+zCSXhZm0L
ZbjJpcO1LoYROB+u1zFVz6wNCtLbCe4Dq0oWSNPc+6JdFK7eQuKNZ8zTpHney0kbjGubZx7RluCD
Mf4lHAMfQaRfRvJRCduYgpQ82YnZJfJl2OISaMGzmkwA2/R6bZQ5Q0qFn1dtlU1rBTMZkE7fwzq0
VylihqZw1SKRu54aQu9L0txY9fAut5bWO4sIRPG+yugb9Yv+Ote4McqUzzT0YT7wpslzmwSXCNxT
rIMz7Cf+dpROCW8jjHowaTXt3DQCtrQ9lLsqbPadiL9Upc0ZB2JKCvnxSgMaHQbV3OI15BumDDCl
U0mX9sFMx4YCPJPLbgRAnX2SqCWTGsp+fBzBVCsJV2KlBgUJcdK8Q46OBNSaJN2VqKO+SMZxI8Be
i8+oFRX0kKKAYgNcvhRAstWgAY4INrtE3BkZE2BLEFaTZG1LMrZTSdtuGpPS+Dy7aXTt3ZRE7sYa
7nri/ouGC1qSEnmmZuoZc9g2B+jdA/aORzAxgL5DSfyeJfvb8i1GKh6IQMGzOWoXFphwl3ZBgAKA
w6fSKwGJIyzSjgRa3PLZk87AxjNRf9UJiXkuGHKujg2zwANOQqoSyDTi1CSE2X7CdauE5+QSHGz3
ZkgjKjQkPKl+MR7cIS/5VGRRctCwHNIKPqXFvnTpZYQiMx4CWoB2/x7G3w9jtnz/+9Fz177mUZO+
ds1fnz5yP/j700eVcD3ZHPL7I+b3A1lGj3nxGP9xgvwSslExdAgYerbA1IN7+fcDmdWpjs/DxSkJ
oFFA9f0HB7Iut7q/HshoyAjZUDl4SEE9/9NqU3EUPanHtDh3+HTnI4YMMz5phhqLVYtt+YKfsAcV
npons6wuiIpvRkAIphbZfa8hrGZadqhE/cLqaJ82+W0EcKlVRLHQYwLGpnnELcXYYw+bQKdaqm6S
Q6gOT3Ocv7sRKduiFw2BPau4Uiy51jJWj+HMwePDqxQGm5O0jY8tO9ARiAiRjj7XvgoSnGM/BOl6
CHDv7lRbr6O9SKwWzLWmgAZQScggcpV6bLFRVDEnWn25syM721Q2+T7Kyox73W9RVvxsiEHZuUFo
HOo4al7iwc+9rtczse67Pp4xwsY3dpNb8TJ1zWZYAckh/9E4NWyH3O7nVVUHarXKaBcPkCTHr51F
7mdI8ye7xGpHZmjj9NRQlpH1Wvrkje2hYkBy0mHN9XDk+oHV2rTIM7STVTP0m9DVV4XfPwjVf1Tq
edfaym1vZ8u8H3YwFTwilYdxMM8uIMSFU1IgnYrbqYleS6W4STusqEXbHTsbN6St0LYjnbfAGG/7
TtmBtluxazw5Qfkh9BqDxbClUAmPcbYN/OoQuPkpE+OpK+j4nJpbN0y3dOU9JG6P3dQG+hScrbDH
LJ6Wd2k509UXeWmpbgazua1bSMXjsIst4ynD4wkl+dV1mn1Kt9fSyWiJit2PXCPZmlonnb6voXBY
2s5LDQnYj5oLwNIXopi4kR2vVLRVboenuaDWB6WcIOwpZ+nejOJpJl/TU4xlZPLFZpDYHtZuGJ5i
cK2N7hJ4NtcY7fe41zesQ78IM147UXss9fZrUDjxSn7rA9u9J8BFMFzbONZI6BjWUOeqp06E6MTx
qbbEtYJM0c7KgxnquzSW3+GOZtkk2zUQ/J2IynW/egfawVshfcK6/lCo4W0bKmu/NA+64axJTJ7U
mJJ3a9IOgzF+7fkilm6ueUmuHQg57wHgLOuwPQQ2dscI1+QY7oqGoI8z1e+1LW57d7ytIcou/KA3
r+w+N5E1hCfLN46TKehXScFk4nutiJuJAp8MNzRgmbE6qyjYg8aPVOcau1SK21TPcgOhd0/o3ir6
NyoCruHgOkphfKRSr09T29PRzNt44scPEb0sAUVLWV3R/S9znR4HKbg7WXefoMDrio7TXYryQsrz
2qdQLyV7JST3Q/43X4lQO/qGcWtIgZ/lOdxZKfr3sXuJ2QI0RuaVci2AWqAg/9EPhiH42LI7QGFf
muwSVDzydMuhbUaCAcqVGwdW+8ucHYSQy4hwalhbU9DkJwedbYXG1iKzqlMp1xhDlb2VcrEhZoU9
LquOWC49IrYfZursCOjqXi0XI7lckYABo2ACinch1yciNBHh2ahkUcpqhR1LJornVi5dqGnol0o2
n3gUH0f2MpZc0CgOenoJLHeUIcCcLY7FNod0/Z5G8a2jdOk6RXGA9TMcWTxOi14ugzK5FnLlgkjI
VdEQldU67qZDIddIlh6dE/ZKvdVZyzAc7wOLqo0QOmYuedJOcqaGRFuGcj1F/zI1JSysyCC6uKxZ
YlHMnt6EJj7if+/+74InCuH/vvvv38PX/xZoMvlVv9/7GoEmliQ8trjjf2FUCp2aHJ5nBhAq8fmk
+vEQM9TfmBO4i7mPueJNnTfaj4eY+xu5b3yhQHXlO+yfSZ6mRjTq13sfN5cJ65JGcabvT93154cY
jBC6Vvgyzj00/YbHvv5AodU2znMFpHSAo4aEpqn0E5uDbkciVVtglbZWWu/uWzOxlqWua+sgnu4d
pUCPjwmp51oEPt/KVnFXvgVipK9+bnFTbOhT7hRPV7rHhsP6dsriYWPVFqk8Y2IHOdrwkQSN4nZf
Hwl8dTSmiHA92trX1m8+VJLxW4pmTtRYyo7noklW0djdTtp4tWkSv1ZllrLlHBxPTXOYJA7Y7ZTm
7kXQubgd3dJFucxWzpis46BTtloMYj8GBESMNfqm5WLsvEayG1o+rBjQSUawFwNpoBMJTvxcO/sC
JWzscv5d6OZbW0u1RclvP0dpvqjxhvK7sH2eSbcsat1hhteHIwl5lJFwP+Zi29Yc50zvr22qVzdW
4Jdc0b256P34lgpvOQDd9AoScW1Bd4myatrM8uNddzUZTtI4dWixoHeUh3JuaCOvOSpVZ2dW86Ue
qIzULfeJDedbURenCqv4otbCPVjHC77Z+6AHjTugAvWJ+1GXxk7t3COTDICOBmaolhs2q8PiOR7S
vZVHL2PcNshVyscYONSItBTapP0XM3ffy9yudho1Bcs4p6OYmahYoK+xmA2D8BCBfWaf3UT4W4uL
M8WPLGmzxZCRnEhzZF8e3xzKpCPQbZsnq29euHbpBhLFKgki/LkB2dIyrR4L3YVHrLIlHB0r8Bp1
vKf1EbVa9Poy6tV2hXEXFxHOKpofu0vZkGRW7SFeocC/GWX7zLPtGzQRY+3r2rfST4A/j2G7z6E5
+oqDcY3JbW2Nuk9tAnXJCT+uG6RG+B20MNeLSKMAtDT0nQIRehMgWyx1p+CDUDgfU4yZKWm+6tLM
4/qDvdLiJvE6q/ng+WXx1Ur53oGlUOZJugaisLBCutHt2kVijfiM+LDqCRyEs+drEG4kVW6Y+k1A
j7sXOuNZ7/2tMHMk9fxsJQ4R2GjdCcQ4zx+OLv/PxmjvSrxzS2uyL0lmPdludk7yCtqLHk+eH48M
wmziq+i9ydtnOw2xV41IDkVcgjmx3XpZ4D5etDHksaQ8CtFtGiV7oNp6l1TBoSU1tNUEdYCCbElK
k3cH8d4eXH7ax/GcpYKpRU1fwiY6mVaZLyx1sHdxZR+Em52ilupSRccO0EwC10EySx5W5AWYtIGb
aNGui6OD6KIDe8SXVGN94nC9LyzNfzBs86mrm7NAxiYLVbjeGGvWkspi06tz2gxAWmPB6NpNwOwH
O3omGISKNFj+08zqhohNB+Ql0jl6+HXkv0Z4dqlXxsnOn+v3KteNFZEOaQ4RWwSFmckB3LfLX+uy
b8Mn4evXdiBGpkfdtCIVaXhJX1vbpFI/TGq7jSg6RCHlDWPKpjmlAFrNopfZ0u99md2v/QK4T8uO
IIm1W9NxX6jnBguk51ehgDYi3vNhuR0F03TXV7njg9XprzVrfz8X933YHNVeoRIZI2NEfHTh29k1
pRt2tCNlHw7pQ2S2uae2496aHBL4dBjh+zFl5DtdWjlg8NQAdz6r4XHOB0htyAIeXeIfwezfY8hn
aNHY6+pRWG7GMP5Wl2RxCi0nhTXMHrqSQOI21JuBvc62dcq1PcAkmqv5OuFlWcFvwaniBncjJrpO
KFvXL29cN+tRoOo9JmCwT1oYLJHuJ/x4FhsmC08hZsXnrFbXbaC+Vs0YocGEPAjwzlpd9iDM/jDb
OANzEa2M3ljXcbDqC+cmKuttDB9kSx0mXriZN51pqJvJ1t4A2xzNgDN75K1EpH2Fp/ydvM2xHavX
eQxW0ISxGk7dEtzWS0HDlZ84SNPMq/DgtnbLaRq0a6Pnh0DlPNK5KeyIohWisbRoT/Y9ztUjsvt7
0nJQRrpVgFext3y4x0U7R0fmS1ZDjXuuqfzdCGMgOFWzBUh5wdpDTUZesCdChsRGSFjMnguaMoJX
7s56VUQh0GMy+ytV162z4+BWUdADNnVTQ07W7sy8S5dofg80bb/ESQiRj3MBzZIfjdQuNU4QbQ1o
+KvuO+Omdus1X9/XOq5A2DnFN5DP6PExZLo81Hk0JbFJp1114c4jgct/G8rwpqX+d0FRC9EspVi5
WffNl1KYalff9JDmydht2OX7uA1AhWmlxWYzmGiwKXgIBmhydJN0LCZaTjDfMU+hrfIpK6Mc10ix
LrpgO9EIQ0PYV1BlPIeV/G4q5nATKfEXoGJvJv11ephlG99PNswRfA/8/k4zITJQN2PvZ8Xe0TTB
VZxj7qIu2MYvRmTDUrTmjJvMC6bsI1GTgncliBCbvWmjBAcVXA7BivLDUXKYmYb7MhS8I5Uqw3uQ
W69JaJrk7JRnter8a+3kR07zxvWPBgHfMGJcXqaoHDuVxVR1KtK0IDRaRyqEf7p4eOyrmluFh3/n
6O9zNMLV38zRHR7M97/qZya/6sccTSiKDTsfAxYG2veJ+Id+9sl611UHjhII409y7I+FhvUbwX+2
DCrWfYZY2bnxY442f5O7D0ADZBng++H3/Af6Gfn/P83R/MYUtQLh4p+sO9Q/Je9QTNQKLRjae4p3
kYDll3ri4CH4Tb1Pn3pTnT6Zmh8tp8I/RvX/s3cezW0sa5r+Kyd6X5ryZtEd0fCgtyKlTQVIQuW9
r18/T9LcI4qQ5p4GF5iIxl2cGyKZALLSfOY1djczlK6a4tN4kVTZ2kKVdlIZKipyOEviAXTsN+Hp
YNGHgLd9TTv8qZWpPUtZa4HbBgfsduppNtJidGXTmyaVkLOV7zgbv6uVfu8UuFDYvkPcI7irjjQu
MDyX8KL0fdBZnEhIME3wYPgKCvN7PmS3rR8gdlpXOC2aJlZP9Trt07vake7wYDz2TescvPRpG/kn
dRZ8rzKE7LHZuig14xFtQnue8MWANAfmUlXpOSvZt2SQB4hHGrKxuEBOi7hbEffdDmpezr26W+g6
oGo1RKdL7wiGIsl+KvwWz5/YPKnq+KZLsca0PWNuRPYVZlVPReVcAHNDD6RAD0f2wnrudt2Znbc0
QNJHt86+uYV6Du32ETkIoNRR6c2bFBeRykouvByhFr+a6KH3PVaRwsljO591KAZyDGaPneKcRhLC
JskAYj6nljAb9ISQt+BoBBZ8Ule0RnT3JPUo2HMjLQaoBXLZHXmOs/JU42oY2x/ItW2tpLzRwHC4
2nifeGMyIyA9I3ydOjKIia6DHq/KYQEytzAvCX5Pfaf/QUkpm1GiBF3pytOmDNG/kdU73TOu9Hpw
QSpGN7qn/mhUs4UjLv7caJoF3fT7BIp1lUGwpYBMsQvTTRKlkGQr/gaDI1qoeYNiqoF3O2rG9G7p
esi0WTAeXchWHk6A6yyL2oexG+UwfXOeGnCxbkrnbtboRFAF/o1mUMGhqPLjwE2KozGJqOFSO5kg
knBlxfBJUwpthV5AfXURVYzIgghOoMSOVQgLlhVnWJ00tUcW8VDxDBM19+ZdOV5nXsm7pjaKE+3C
lZvr0daOgg6gn6WSVVWFC4s3BtDWNtFjnfX3dkozxTLzB1nJSlDH7rTs6Fp3cgCVo0QqWfJXMup+
M8mCIiDL2dKE9q3IQTOtZAlPSL8bJlprb5OwOLH7DKerKsyBrNRr0xsGZCxBpHgJnm4FBqQCJclq
TKi91A8ViSRGiwqs9RHEZAKL/1hPI8IyGqveOlYdX5tFUXen2lHZzkup8oOvTINbn6u1BRPCDAxt
YWI+ld5YTVxnqB3loA2cMq78KdRF64JLMqBxVAT+hVb03rcAyYcqZglNdF93z/IKuQQwxgRNaI1Q
R/ItojC/kCXUpIz+Uo4llAuLALEgi77UBLNtSNK2WRXrBi8eWClBXyMnIWsxcmwDjnFdDKLV7Iul
HGrqfdSR/JwCLUFRKIx9pJpN61H2GkQ9I3Mok3GCWrEj5Od0o5gHgWp5N3JtxdU31W09Fw0JcCN0
6BLT/R4Zga+fyio6DOThfZP/b9nphaxnUO/5w3VZBqzwYcd9yZ+93Zeq+oUzTlZ0OC4QDX72RqHu
ZKraC+sYX8d/FZ2oVKF5ZFlYoHDNItz292XpfOHfZejFXL22DHrvn1yWlD1+uSzhzykOl6Tq8B8+
imC9/cRqk2C9mgUuzBepkuv6aaU2BPBDE8gEZ9rQqc6k72nYixD3EWD591EEjIg6XOsihNSsh6HF
gzgntiyB8xQi2Kxt+qiNbp3JIhClaEsFKkcVksWKWJgIWFURuvq5dyaJYLZt/Rr7huy8GuonSQS8
htM96SIE9mmqNiIozuzguBdhMo7ipxJxcylnxiwTobRfm+2sFuG1NZRP4K7AojXlQxvUC85GfA2J
ySVicx91XJyDvZVl1WfcZzCbRRRvFN03PHpv43qIpyGBvmbU955N5I+ILFA9kQ14AXkBZA9aESJX
UEgaLJE9YM3XTmwSCjbfeaaT6/ujeg1JrZjga3XZq/JRIhtbvU6WWtltKj041lXu31LCGxdOF+cc
v+2sErm8R/B3nfUwo9Dovc8q894J6T0DcNa1x8pxHku1Oi/H4M7I+scI0MYMpvgIo8O8QEcPgLjR
rRIf3dWwlqBcSfhvwkq4rgLtrMmlsxGywzSUiSsGFRNPo7CTdahg2GAowmBXBo5odOhoi0KbIaEY
j7/0ceib3jKUGnNRePGpXzTy3K76W7OSjtQO9RxEMY/srA3pKSXn+aA7U0BV9rrMU3U51KLFFmaz
Ughc5FhELSPLL2ehjIeY2br93GhU/JmJ7KfWoK5Kr/vq2hZk4+bClBuIo2k3hbVXLEuER3tVFTcZ
WAtQEXiVdt4E82IMv+RyjUAa7r6q5C7ZaO60y9pj2ZLPfB4Fv1k+hEjRma1xgXTS2gsRLTHVcImU
621S6ytH6VM8SM3bmmtcTryviMBvKRRLKOLQMTUaUwfy7NBZacb7NCxyVCzQo7XyO6lpqllcdbcS
qc2UP4Xhjpj/XGuj60FShznSydBoFNB/lHGmQZafogdxHunES/XQAzLJupOGnum85+I7tzqo61JY
2rMwC9QXg9MawF2EUNumdpFfkyvEPLWyQtQmCu8aRELj4FarlZgVGFhz9tpM11tuo9qqlym6uQQE
Zb7qFdWdapl8jDTtKSBBaJNhoM1GSbpEPd9HZL6gt6dSIkrBlOEeaWJLpmEA4o3oNWWbqC9Ax2ry
ta4dSQPpnYDSeaj7WdVcG/pwRuEFu5zsK663P2RFhuFi6T/KUf7mVA6Sr/FZjkCxairgRCvJn5uD
30+GpLjym2oT6xhqBsMadv2R3jioesBOApUOAwHDxWlpDz/UqvzuSc1xl9WXcS6d1i1xVJDWM7Ce
p5oDF0UhGp8YaadOQoHebBwfieS6/pFLCUXnvhN2EtYmKMrvZCgybBspwlmcChcKCAjeNQNgEkOy
oVlBrCKVpCtI1aCNzccabU2Yk2ow40A+rqSyh8FCqOeP7VHtaiDtSu/K9PsNsjcoLukYn9RFhee0
R+en0ouVmcB0RIuLjnN/XRsFKi9I5cc9ovnoJdL1TY2STZexJWwT0VukwrLeJcdFLVpv3B7fXe/a
dfXzLHeuHVdfaf1gU1NywBcO8ZWbYwngKcXCq+34vuwqJDY7+LxAGMD5i41thHfIVwB4abtowbEK
OFj1H/o0Q3ZJDxYIGB5xoF8NetauiBSQbVGby5wSDPgjY9ZiHbL00QiatpWGabqZ3eC+e+S7gIyj
Ij6p/PYywAkGkQeSnwDEpZWVdIi9mL9t22sDlenVmDYPMJzIfNBSnKip6qN3WBAjjdIPR6fMVftl
sLQd6RJ5xAdTY28XsWUDpRYi3j1ZforW4pmMIvGkzIp7QjN3WtsDvpkDSsmaimy/b8vCqFRdGnkq
L0IQVwsiugeUeO8A6ehT8AMLJINB2/LIJ1x35bTTNJxMe2i3Du2YqdkG5ppyGhIMOgqcPgUODRt3
Zqm99YfosuNOnNZCNDswKtSqLcOboljIcrMtCs0h/wb0MjjJpbGbRToJowQ3h0p0N/XkrptIkXlr
1MMSwdAnIzMuQi/f9nBFJvDX70UpdtKVEkuvSU8wFyvOLGMELyujQmGlK1lR1nWcl1N9UJt5ZMvZ
PXTUeF2Nxa2msvHjVLuTBv28DuqnrogXjhvectnLx4FZUZG1nXUVeOcAR26cMVppUoW1l9/2onFO
iV/vVi6mEVY6VIA/0MlCCa6dqZb1GPSZNEvKjOphlo+kWfaVQtIxNyj+QirHzCTP0fho48Zdy+Ww
MSUWQ+236gJdOBSKqQvbrnQUeN6mRALAQ+8LEm2+zAqkfVIrv8giYN+ZI3u4vRuPOe5MpE3BN12m
ExQW5oXcmF8z3Vy6uXAn9rQfoUxxXwMmDQGlBGPYp/7CtOgC12YlTH0Hll+ooDoeDFjdjso3Exgy
XMRgDpk8QYKcUxtbNUxSLVAEphRu5FQ9jahMTuvADSl0kVe1SD7rdbkcRrRaG80Ip40crUIILVO0
tLnvauq1hQq8PQvLeG469hN290DPba9cQASUpxkK1LNMHii1j+JUNe9QA1MmnofcSFJIN37Z3dJ7
oDYYOFOc2k6aSqEa1tiIO1cZRi26f12bVjGnibxuvKaaJjIa/mlz4cWdM4X8Rdcml1CSNdlPGvqE
vSfFMxh5a4nISaiuyAhZVQ+5lwgpf7Y9Ki9QdWDWyx0NlmDbQZaScvOHKaM3qNlcAonwSnEibCXh
XWHD89gO5bHDTT4ZLOOxaq0lKisAlz3lyE01nJNHEOu9Gd15CUj8ogc2bdMMD6WEBPJBtin9OQnu
1WjATpQmPMoNkB15E+LWGGQoTJX8zI6+eQi7TID83CjU/iaIK1xZCZh0NcnWutPd9cRcdGtGzGPy
LJ0XteZNocXBoIsKvg7CwrQqSn2OzB0ewzS57EFoChbxlH33A8QrbSiEG+depC3ktrnPW7auXyqX
yF0LjIJ2qpkB3SsjLCdNlF+bAc/IsBSN8LLnnC7TU2gU6aI0sTe260eU31BdDOq7ovc5gxr5doyD
o36Ib1RdSmZdxZFqyQ9tCwnDRo8KEoLVzbK4OcmrcpHKOIIC4gEvkcsIsprh1iE29lu0xfM+3Y5J
eTQ6NAc9QEaqimsfyvK1Fd7mLSyziijPijj6/IKV6TudBWM44EM21lLuyx+mT0hnZT2COcR8bQg0
A+FIUEdr1yUhjNKNa0cPYd2c63pxlAS1MiO7Xrgt7GS6oKuhsK56X5n3BthIt8iuqaavct1ZO+Cr
Cjm8qGFoYT80TAbNR1NPGFq0J8gzrJGCnsaG3KpHVagM08Kz1OgyTkfzfsgC0z4rJFTJLmOjztvZ
IGhoRi4d/W/J9qVkq/0xB21YO0m6q2jL370loVRmFYcgC+1VBb00mR+9FW1V+YsJrgGvTZU09V3R
1v6ik39yearP0AeRor4VbS2oYApSMtRaTW5ImO7/oGhr/uIEJvRcdFmGU6aouIFqz1D4n/NQpTUo
TeDodT4a/hFoeoQyM1rN1HNGKC+L1iAQD934FMNKAhlNX8mNsgzy+twHQJdCInY69TJVJI5r5air
8k3U6N/cCkxyWp/2owKITl+NvllS3MyGqY/lJpIply2tjrmZJBv0as0p3BnaezHVkZFazHEywPyM
IwqVdlKnd5nmHzdNZp+kKB7avpDr5OaajAiflk70YErGQnMVOsTZeV4CUMqd8L5TWswcUhpKBH+U
s9ACiZQuOG/M7MnMMgIJWuDT0beIuttIWRuDfVLX1lpzkxui6y3KkqeV7giFwhv60Rmy5d4yM5tj
06BWlbXmuZFZR3GNIbDjG7eaJM3Q2fre+eaiainmlYDMJ51jX+hOCRYLBYEuOgu7cAGSz2UTwjsN
LTqjSindOYKfn435TDbCE78cYZ/kwzFtf+rPBl4qSTSSRZtOspBC53tPHddomxO9sbOzvLiEn79I
uGbpBJ5bBgqtWg8cBDnGEGEZDTFATUFeIJbuW929o525MBvSG6ftwN/HyUMwNLc5sNBZMsIRU/rw
bGiZuiJqLuXeJS6NzORroa9x/rJrSgzAzgFXtGeebC9cpF4BoeNZPDTttT+Ec/4/gvBoVs7qIv3a
8DFcUPzTKOCSRgd8aQTwx0pbAU42wJfnOYQh/jGhbMezbLDh0eC8GtjZcde5T3pBZTYwzRs9M68k
4ENTxNFPHGxqKAdY/tTPSfzpDF9JSNwakL4R8yH27ovwxnbTR+xEsbpOoLhGT2FafvUcugCmahAY
8qVWuat0UxRFbeojvTel27vQdLjEgYVAcBZEqJU0s9FJVsYYIbnariJVi+dp0w+0qZsteN58ppto
+VJAvs+yZO4gkHriG8x2EZMQ0E5H/6THZkWrcMCTQDZOxp4rEimx/BS6720xRmQSDRG3zBWYBWgQ
w922kdcBuROX2bGMmgy4gAil0uo+MK0TikpXaZsFUytwkqmkjOMySYnwU7cE8zlw58GU/p6nxbXd
8uCNzpsNIEXlxsVBRlJmWmtcObl91WA+3WmgghTXXVt0HSYGi36COeGiH1HiLMHBQHGIqkne0QkI
i5KQZRw2CFtUU7JJQnBmdFJjYVG30kyOAEMNAGsVgTqkQbXE8jWZD9EV6GRsikjlvXEDA2tTt+aN
17c3UQxdurcvIHrRzPZGMgWV+E4LpK8D3Ur42tZcGHv4Q2seod1JN0LU7FE/JiuRhg3PdTjSK2Oe
5fABkOfTZqqkb9W+Oo1l6bSXawiV9pDOobFsQGKuhrzGW9yEZi9bgZB9s6zJUBKEq0V3nVhdhgtR
rSzxVKUzoZFmdS2GUF3DCuTff6gx5frBiF3AnQIrFUtXVGW2VcKS0M0kIPKwbvOyOKtiOPkQdbd5
DjlC6hZVSK4kqbE+pwmDOKoC+kYeyxNXgX2R6jxtZvy4SPnSgFZQsKjTbzq6+guy5RTvXNuhTkfA
Fg/eytXNfpUpw6YwkZpyOBqJrxcFLg0AIfXTsfbPK2EKYyBGNhsC7RoriA6aOVZ9lbyEbXSTj5yV
mXKteAVolNGmQ5FZGw86CmbnwMb1YNYF6AoacnMrmaMyden0zuOQWlNpsKijyv3WmuO3sqaOUOne
yoslTE6UZg6OLZrodXOd20oyKyOeryahfEL9bdpZLsZOCSWhMuaowFjFd8456JZe4SODoFc3g9t9
jdT6rixsxDii5k53RhnUTadQAVD9YzooSA3bvjEdfPoQmVcMk1jR1mUVXqemthxzkMhupHzrIuoY
ThwuDGybprYTCRtDk+aC+rU1L7vqaHTvO6qBvnZJVWlCGe8rYfNtoCU8mrRemmmGlRTVzzxWqpUc
mluFgx7tFueCRJWtTfl1JRlEgpY5BvPYAqoV6FjbOt1JlcfAk9WVhZoj7c9hPg7KdWrgH5PR0kf7
6M6qqXnIRX1U1GcCr14bKHp5KN6i+wVyPHOCpYqD1BTxjztlGJdI2oQnlI4AOEjlqTNY0gJBkWih
1X04GSmRQuolrzZwT+5y78gQ9lsV9kTITmUeBZWh0dQVGJitHST+aZfWEz0nfjesuxAq5BIzBqGn
UIzDmUK1YepXPGcL8a6VZ9c0NlxhuVkdufWImirOnufyCBLGrWp93QJGR67ZtjeNPgDQ6xHc8XMs
17g8wgWt10ViKKdqbqw5jY5Mmr6RrVMtramDSaWOqZOVc0K0BQXFSloRVp/peuWtUl/eaoO8RVDj
gSsHiRe/x5GKZNi2yLJkvjqfEVZSNov6+LEP4Egbnr+km4iSsAtWKfXMe79P2iXsuXDegbuAqglh
C0Vgs5WEirh57AmY/kMtHym6exW51kqSOhUhKhq8ee9OgyZRplEs3zL93OJKvEWq4qiF3rnIoSuU
lbkM7Qp7Rc1KF7ScaeeVsnAEQYhZKbr7tMZcqo+vDX2YmbFxmzgwy4uQatAYrTvdXJQBIifsE2pi
/UKp8xt05h45XC9qWEtTmM7gHs3iCi/TBQecsux0+EuOgjqKD4LbgiCemtDlMFU5B1aDcI7rN9hX
RMO87GvWA3yQmW+OOH+ZuFX3+LfkJm4iQaZuRgwzYGZ0S4sEZ4K99BlB7n1Z5ie9FVvkz9Jcwb8D
+ya45iGFKvWqLNpjdu4KBo4Mq94XuEvk4gKw7wpXbaScBG597MbZHYiVe3SWuCNS665S+9OMDty0
CxzK4xJQfMfwvtIST6cKfNoxOCr18pRC0yLvVGo5gQ1XPueOlszbJm9Pxx63lTR4iHXjqIiot1ba
cNL2drMayoHEsTdPE8XG3i3hIJTQRTcCqn6Gvooy9aSTx+Om1DRk40DEmwjShV2SXGgoZs+o2kkT
qSvVWevDkGlFRxP7bMrzSTpM8wraL1yyVQUYc1bK4YPVEcPYfXNh5chxOGWbLT2nqk6SAmHAQusw
CbBsDiUXLqErLZ1nGo36TKkBUg+9xqylI1Mwbkw/WzvPJJz4mZAzPpNz/jcde0nHyIJ+3xL8hkTX
jn4gf/OWiqFhRrpDU09BMQM1jZ9TMVqFKhqcMnQyJIfVd/wzB+g6XhtCZQPZy3fGGho1JXjENpU8
FRzNP0nFgJr/2hIECGuS95nIG6uomfEhfk7F6rIL01gN+/O8BgmT4yljueVNreLpFgq7mVFJs5sA
qhmN9CS5roQtjSQriMuPrjJVUHTxIALXk0LXzqA+y3Na9j2O7yHaP2Y7rYXtjV+0D07TYVkzQNin
ltxfOFz/U1j21tRp3OxGx0OnlGl917jqtEjQnicedoSdsNxBez5dNoaqzT289WaVotyiVhGvYgTm
lyHG7ZC81houPl6BnU8vjH0gmwXnsTD7AY7yXcIdbeXgA5QKQ6BCWAP5wiSIGwZhriilqcAUnAeK
7eJEUzsrlOaFQLpqTuqEWLzLLWcWexrFkXTEaceDLo2QINdaCOa+SU4a0OKRg6cGJqO47jQIElNF
NHwELRp9HlmePFe99igqpWNQlbhCKqdZRhYj1xlUZBCY0F7870ar405AsR+tkzuviO5KI6W74HuQ
gr3gutbhAyM3TxE8RfzJ9HBrGttiJZnJVvMoTvWpeWQieQk6klAegWLc6SC8LHy3k9FEHL/xoEN4
0Pl1Jrlnejw8ILWx0lyguHquPblDdSFVaXsS2URoZY2/VNHZZ9roADJ0xzMj45HWeT+DkAXkWXuA
vAYNLHqU3JxEwvePorg/NzsaxQAkqcl6CDRyw62RjTXA9PXVrPOcc5oM9VRNhM48Nhh9ghiVpdGY
VfxvuTde4hR7DIzZn0j9KCEzCueK9UEbzy4i+5xLOtQekKsxhrUFLmhuYU6MSt0I7lcpvVls0Mvx
LWMrYXwRNDb9HGlAwx9ha9cJDaC98VGLrN7EMii6qYlyolnk7nHL9e7KCpJKhh0sByOCzg67DM0q
LiLDaGH4lPRovAhRNkJ/ZK2HeZCgspaFzgKMGFieaGSSg8pdS0NVcP7jHtGxwacyK1Xz8qs4TRHO
C/R1bztkOFEi36S+W01gZa2ULO0JdUPq9I5Jr9elZqvLKS15dzvQLg1o+q4jw7gpaxdof1pP0cOd
oqVzRjYSc7kb2Ex0jYx4lbmW7FI/J+aDL2GX9RS7KBMhfv26jRDDcGvjBNoTRCe0sqayZByVcRMc
KUN2XOixsi4yYnGvduBq31eKey513qIbrX4BUmxZF2UAkT4pl9VA357e/swu4gc/NhZ2lrPV2Sa5
4JyrSfI9h4TeCzZ6JFn2DJF+5dzv4Kq7grVOfO8dkYfgVmW7Z21ByTh0zLk6YNgYY/0GSghsuZv3
l4NC9wLxXCBgw2jjHgJjnliWu7LK9OXgufDpBbM+L9JjT3DtB8G6rwT/vggVaakLTn5W5JemBEh3
hK6P9uo9zULtQg0JOTj9orUU0M32oflLYOI8wfs3EQAorND7USEJ4Phs40sLmYDxWTAgdYR4wP8v
9+f/eXE5mG3qzfxZgvqy2ZbD1baiZ1i9VfnETy8yGq032f/sl/480F8v4tc3Q779z//YPCVBOguq
ugwe658vV0QjYE+/u4yfP9PzB/7TEPGGVljzxNia9YV7FSkexZGfXyBk4iz1Xn8sKVROqZuqYHEU
JGV5/fwY/zQLf/6CL9P559/5/TcQcNx36uD62wf7+9n9OzPBOO+mAr450FxEvp5fxBjvpgIkk0qR
2BLkdyb9p3Xyu5Xw5+/3yXMgisj/g9Xwfg4cBGYdSitorzy/xE9/Xg7MAc1+giP9JQw8vEnQf2VK
/vOFoBOGysCx2RQvr18mQewJB30hWtFvPz/I9aC8LNR99gQCwbJqqETjv5kKm8aKYwLrexGnOLz1
IO+/HmweNxYkivE6CXzVd5uC9WDxQl/+ZQMe3iQo+58M5hdNFT0ynUvn+fVxEtAUcRRVMHsPcjsI
9Oc/vizfH4+2MIUEACcgqe+WAF1EJkd1NPnlHn15q8NbCNrLw9nnSID/Ar5HVzkjn18k8O+nApFy
h3XiOC93yKFOhbr/wWChl4MKmegoP792BE+OCaseXbG3PXOYO2P/i8L5Anlf0ynNvHzTX89IUfYh
0FQ4Hw71eGAh7308gDJQwQUAURevD9ETWANbxFf6i67e4Z0P8q/VvX8ePSHQR2HPQdLvNytBFYJR
uOoqhxoyvD6dfQ5Jm7QK/SqEMV5Wwq8ng4ijheOafLAr4TXA32MSdOWLpQm4zVtCRe74/qZQQdHg
ZQHy5VDPhJd9uuckUK62VLEnxOtDVqmTcukaWeXLIXx4Z4Jgv+55MBI84tzHLfn7KgOGoLB6RDvg
IK9IwdjdcxI0BHM4E/BTfFkJv16Rwm7RIICELHWgkyDvHz3aXyxYYDQnXuZA1JPenwkE0oLATM//
+eQ82KnYfz3ACQd3aNADeZ2LX6ZCpJU2ChXsigNdDx9k+P95tAAwU1eYA5Tzn18fQibiRsAAwsDo
UCfhM0Im4Ke6Q/T8yxIgauYHFvLJB7sP/icVaPGQ/y5BkzoI40Us13799kSKaC1Y2usNdHhXo3DA
2u9WQGEN5QdF1z9+e/0Ljx05CfU1cjjQ9a+8LM09YiRN5cxXbQP5i5dDgK3+7lJQjC+EiZwS1F7E
61A3g+AP77ccNKJBBHA1VM9/EyRQoUdPXTaFMO5BRkrKy0G9z3owvmgoClJLeHnc4nm/Xw/Oc46J
Yd2h1hpfr+x9JoHvyIagcvSaQn64GVU8ZwzF5HY80JWAlM2+28EicdBx8kVU5/n1a8zMBSnSBh3M
9YFOwms5fJ+VoH/BkkvV7LfS+6+ToFBtALFEnPASRB3q8ajsn02jR0obBpzXy0UhiDzvTgbB5uHH
Qsb8QNeDtn+4yHWJXpTBlfnLtyeDVJB3BSP32qQ50DlQ978nRYFNaGa9ngsfyiokT6gi2KQVh4lY
MCiS7n06ml8oNxMdW6/d+l/vSXYDtTV6FMKJ9TCDhf3TB/pRFqZsBpZtu68IDOE1INSW8zLhh5dF
vLZE9rkiRBrNt0cz5+Vg/LASNKqMaB1ga3egK+G1/LnPJBAsyCYSQ2+Hwq/HI9tBR8KCaxK2Ja9D
vSfVvSNoSu+686wB+IpQ+ZBay19o4dKse43WD3BT7H9Pml/wOREtmNfa0odgQYH6a1JZOlhElxBw
3y+hpL5A1mwSQP6myihQbUCZaM2+xFSHuin0/W8KDklNVenPvk7Fh/OB9SDadrpzqBmVtn8rBms1
lPwJCl4hCdwH7yNocXSI/5GAH/Qh+XKR7XNfECIigEGx5TV82nE+oD9Gbnmw60EUDfc7HzQCaVyb
dDbF8+P+mFFxPpBQyfRxDzVy2P9ksL+QKYiu02t/ctdKEOq8CAW+vA50KrS97wsNhUXUF2nQvR6S
H84H+QvpNfLCr4ns4UUOwqRkz02hofEsG5DAXvbExwIkoSYgH7COh5pYaXvHkBrYX4PrkATzX4v+
w00hQ1cjdjjU7bB/im1w+iHPx5J/WQofEisKTqwScG0HuxL2L7bQiaInQVnptRT96/FI3QnhGpkj
9FAXwv73pEWfTgjOUlN6uwLe7wZBXpWBOwlHw4Ostbx+sH0ipmfAKzy6tyPhw+VAsKBSjke58EAn
Qd8/gqbqZpEwyUL5Sbw+pBFg+yg9AnY61HNR3/tyIK2E7UCtWfsdbkPFZpRTg8PzUFfC/uciyAVT
1mjQv6RKH2Nn+Qs/hEokFL54Heqm+CDz/Y9xPALGQDeWMuzrpthxMogkAsrUoU6C0BTYM2wUgnHP
Jri/Kzg9d25MnYr8oW6K/SMmpPF0DG4N83d9awUKoehXotRwmBflKwh1v4sSPXm0/KjCvu3899GC
cGFWFQVNrH9/Ev6NVOtfBOWpH8RPz9RkHNV2MZh/9wtvnNWPP/+Jc/vMPH73m4Kq/PLmf1OX/+sd
c1l9Zsz+9NM3Bu3zO73+/etX/Pjm797s7Xu9/eMq2Jab8tEfnn8wvH7Qs00Cw/m/Y/7ztNnNGP77
0/xCs/45Svjz6Gj6b38dXJz2b/+2g8P9bw+ebJ6y8m2g9dN//gc1GnSLxT2y9yef4Da864Pz4fYe
e7qJNy2PpHob66fPznrff3w0P6sPj5SJ4Vj9hMHTutz8Nc2qetdb0JbY+y1m2/ivs6zcOf+ES3uP
P4//mmUli+dtrJ/mn1tu7/EXJS6NuwbnRN978GW8TdO3cX764KRVe4+9apKHLH6q34b6e3iB5Nx7
+HWSb8tgE78N9dPwn7Fl10jA7xj6M3bs8bbcMeeiObj3pBwHqbfjIBCU5L3HPtlEO84wAb77hKGr
artrTj5jg55k1V//nXrbeLtrZj5ji55unjiA3+bhp4X4GVv0dIPzz46xP2OLirGRdtzx0QVhd+/H
erpNn7LHYNfpJWAYnzB++bh9ehvo73kX8Ib9B8/47G/j/DT2Z2zT02znnHzGLmXoeltuhx2f/DN2
6tkm37VaPmOfnm3bzcfY0cAl/e277BHenZcbjoC3gX56nJ+xRS/izeN2R+woytR7r8ML1Ch3BXei
/bT34FcBoWMVPO2YGdHZ2Xv8681jSUqQ1jvuUtFf/4Q3SP+abHFG2/UGn7FVrzfiDcp0Uz7tPMi0
z9i04k1mwdbb9SU+Y9eK8RfsgMegetz1Hp+xfcV7HGWbotl1WwkpjE951idNUP11/hBU+a7v8Rmb
WXyP00293TX+Z+xnxq83f0025cNmV8wgJJU+Y6Z4jykGuzsOa9Eu+Kx3KJvxbbC/z1RR9t//DfzN
zpxQlNP3H5waxs6p+ZTNHFQRLn3N2+f8aWI+ZS9n8WZX9CAaw/tPDIFJsmvNfMr+rTeIUMabpnr7
pD9NzadsXVFm2XEPCzjb3lNzs/U3u6ZGwAb3H/yP7p7P8nt7BD83f7La3n/wP5rC7Dv8V+a22bVX
Bf9v73n/g4Tyvh/8W/OwYyMJFvf/41PvKsv+SwHxY7H2Tdlw15+9r0WL33iMt5vyv/4vAAAA//8=
</cx:binary>
              </cx:geoCache>
            </cx:geography>
          </cx:layoutPr>
        </cx:series>
      </cx:plotAreaRegion>
    </cx:plotArea>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2.xml"/><Relationship Id="rId6" Type="http://schemas.microsoft.com/office/2014/relationships/chartEx" Target="../charts/chartEx1.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9</xdr:col>
      <xdr:colOff>577850</xdr:colOff>
      <xdr:row>11</xdr:row>
      <xdr:rowOff>120650</xdr:rowOff>
    </xdr:from>
    <xdr:to>
      <xdr:col>11</xdr:col>
      <xdr:colOff>704850</xdr:colOff>
      <xdr:row>18</xdr:row>
      <xdr:rowOff>158750</xdr:rowOff>
    </xdr:to>
    <xdr:graphicFrame macro="">
      <xdr:nvGraphicFramePr>
        <xdr:cNvPr id="3" name="Chart 2">
          <a:extLst>
            <a:ext uri="{FF2B5EF4-FFF2-40B4-BE49-F238E27FC236}">
              <a16:creationId xmlns:a16="http://schemas.microsoft.com/office/drawing/2014/main" id="{5B6EDF64-5D60-4738-AA25-508306048D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19050</xdr:rowOff>
    </xdr:from>
    <xdr:to>
      <xdr:col>3</xdr:col>
      <xdr:colOff>12700</xdr:colOff>
      <xdr:row>36</xdr:row>
      <xdr:rowOff>127000</xdr:rowOff>
    </xdr:to>
    <xdr:sp macro="" textlink="">
      <xdr:nvSpPr>
        <xdr:cNvPr id="5" name="Rectangle 4">
          <a:extLst>
            <a:ext uri="{FF2B5EF4-FFF2-40B4-BE49-F238E27FC236}">
              <a16:creationId xmlns:a16="http://schemas.microsoft.com/office/drawing/2014/main" id="{F5E2FF4B-D2AC-4735-ACC2-63163431614D}"/>
            </a:ext>
          </a:extLst>
        </xdr:cNvPr>
        <xdr:cNvSpPr/>
      </xdr:nvSpPr>
      <xdr:spPr>
        <a:xfrm>
          <a:off x="0" y="19050"/>
          <a:ext cx="1473200" cy="6508750"/>
        </a:xfrm>
        <a:prstGeom prst="rect">
          <a:avLst/>
        </a:prstGeom>
        <a:solidFill>
          <a:schemeClr val="accent6">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3</xdr:col>
      <xdr:colOff>0</xdr:colOff>
      <xdr:row>0</xdr:row>
      <xdr:rowOff>0</xdr:rowOff>
    </xdr:from>
    <xdr:to>
      <xdr:col>19</xdr:col>
      <xdr:colOff>381000</xdr:colOff>
      <xdr:row>36</xdr:row>
      <xdr:rowOff>82550</xdr:rowOff>
    </xdr:to>
    <xdr:sp macro="" textlink="">
      <xdr:nvSpPr>
        <xdr:cNvPr id="6" name="Rectangle 5">
          <a:extLst>
            <a:ext uri="{FF2B5EF4-FFF2-40B4-BE49-F238E27FC236}">
              <a16:creationId xmlns:a16="http://schemas.microsoft.com/office/drawing/2014/main" id="{1E3AC55A-D4A8-45BD-8056-EF391F794FF6}"/>
            </a:ext>
          </a:extLst>
        </xdr:cNvPr>
        <xdr:cNvSpPr/>
      </xdr:nvSpPr>
      <xdr:spPr>
        <a:xfrm>
          <a:off x="1460500" y="0"/>
          <a:ext cx="10947400" cy="648335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ln>
              <a:noFill/>
            </a:ln>
          </a:endParaRPr>
        </a:p>
      </xdr:txBody>
    </xdr:sp>
    <xdr:clientData/>
  </xdr:twoCellAnchor>
  <xdr:twoCellAnchor>
    <xdr:from>
      <xdr:col>0</xdr:col>
      <xdr:colOff>120650</xdr:colOff>
      <xdr:row>2</xdr:row>
      <xdr:rowOff>139700</xdr:rowOff>
    </xdr:from>
    <xdr:to>
      <xdr:col>1</xdr:col>
      <xdr:colOff>615950</xdr:colOff>
      <xdr:row>4</xdr:row>
      <xdr:rowOff>158750</xdr:rowOff>
    </xdr:to>
    <xdr:sp macro="" textlink="pivots!G5">
      <xdr:nvSpPr>
        <xdr:cNvPr id="2" name="TextBox 1">
          <a:extLst>
            <a:ext uri="{FF2B5EF4-FFF2-40B4-BE49-F238E27FC236}">
              <a16:creationId xmlns:a16="http://schemas.microsoft.com/office/drawing/2014/main" id="{91C151E3-EF08-4EB2-A148-71C5F6F0706A}"/>
            </a:ext>
          </a:extLst>
        </xdr:cNvPr>
        <xdr:cNvSpPr txBox="1"/>
      </xdr:nvSpPr>
      <xdr:spPr>
        <a:xfrm>
          <a:off x="120650" y="495300"/>
          <a:ext cx="895350" cy="3746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16BEB5-CF9E-427F-A4DE-2FBD50F3C73A}" type="TxLink">
            <a:rPr lang="en-US" sz="1800" b="0" i="0" u="none" strike="noStrike">
              <a:solidFill>
                <a:schemeClr val="bg1"/>
              </a:solidFill>
              <a:latin typeface="Aptos Narrow"/>
              <a:ea typeface="+mn-ea"/>
              <a:cs typeface="+mn-cs"/>
            </a:rPr>
            <a:pPr marL="0" indent="0"/>
            <a:t>2,400</a:t>
          </a:fld>
          <a:endParaRPr lang="en-AE" sz="1800" b="0" i="0" u="none" strike="noStrike">
            <a:solidFill>
              <a:schemeClr val="bg1"/>
            </a:solidFill>
            <a:latin typeface="Aptos Narrow"/>
            <a:ea typeface="+mn-ea"/>
            <a:cs typeface="+mn-cs"/>
          </a:endParaRPr>
        </a:p>
      </xdr:txBody>
    </xdr:sp>
    <xdr:clientData/>
  </xdr:twoCellAnchor>
  <xdr:twoCellAnchor>
    <xdr:from>
      <xdr:col>0</xdr:col>
      <xdr:colOff>190500</xdr:colOff>
      <xdr:row>16</xdr:row>
      <xdr:rowOff>0</xdr:rowOff>
    </xdr:from>
    <xdr:to>
      <xdr:col>2</xdr:col>
      <xdr:colOff>247650</xdr:colOff>
      <xdr:row>18</xdr:row>
      <xdr:rowOff>0</xdr:rowOff>
    </xdr:to>
    <xdr:sp macro="" textlink="pivots!AA45">
      <xdr:nvSpPr>
        <xdr:cNvPr id="7" name="TextBox 6">
          <a:extLst>
            <a:ext uri="{FF2B5EF4-FFF2-40B4-BE49-F238E27FC236}">
              <a16:creationId xmlns:a16="http://schemas.microsoft.com/office/drawing/2014/main" id="{BB86AE28-C0A5-4457-969D-B1248E3121D4}"/>
            </a:ext>
          </a:extLst>
        </xdr:cNvPr>
        <xdr:cNvSpPr txBox="1"/>
      </xdr:nvSpPr>
      <xdr:spPr>
        <a:xfrm>
          <a:off x="190500" y="2844800"/>
          <a:ext cx="1117600" cy="3556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D23C4F-6942-473B-AA5B-65CD67208E8E}" type="TxLink">
            <a:rPr lang="en-US" sz="1800" b="0" i="0" u="none" strike="noStrike">
              <a:solidFill>
                <a:schemeClr val="bg1"/>
              </a:solidFill>
              <a:latin typeface="Aptos Narrow"/>
            </a:rPr>
            <a:pPr/>
            <a:t> </a:t>
          </a:fld>
          <a:endParaRPr lang="en-AE" sz="1800">
            <a:solidFill>
              <a:schemeClr val="bg1"/>
            </a:solidFill>
          </a:endParaRPr>
        </a:p>
      </xdr:txBody>
    </xdr:sp>
    <xdr:clientData/>
  </xdr:twoCellAnchor>
  <xdr:twoCellAnchor>
    <xdr:from>
      <xdr:col>0</xdr:col>
      <xdr:colOff>171450</xdr:colOff>
      <xdr:row>5</xdr:row>
      <xdr:rowOff>152400</xdr:rowOff>
    </xdr:from>
    <xdr:to>
      <xdr:col>2</xdr:col>
      <xdr:colOff>171450</xdr:colOff>
      <xdr:row>7</xdr:row>
      <xdr:rowOff>133350</xdr:rowOff>
    </xdr:to>
    <xdr:sp macro="" textlink="pivots!H5">
      <xdr:nvSpPr>
        <xdr:cNvPr id="8" name="TextBox 7">
          <a:extLst>
            <a:ext uri="{FF2B5EF4-FFF2-40B4-BE49-F238E27FC236}">
              <a16:creationId xmlns:a16="http://schemas.microsoft.com/office/drawing/2014/main" id="{DE3DDF25-EB62-4B8E-9722-F131E3A3F544}"/>
            </a:ext>
          </a:extLst>
        </xdr:cNvPr>
        <xdr:cNvSpPr txBox="1"/>
      </xdr:nvSpPr>
      <xdr:spPr>
        <a:xfrm>
          <a:off x="171450" y="1041400"/>
          <a:ext cx="1060450" cy="3365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800">
              <a:ln>
                <a:noFill/>
              </a:ln>
              <a:solidFill>
                <a:schemeClr val="bg1"/>
              </a:solidFill>
            </a:rPr>
            <a:t>11,997</a:t>
          </a:r>
        </a:p>
        <a:p>
          <a:endParaRPr lang="en-AE" sz="1800">
            <a:ln>
              <a:noFill/>
            </a:ln>
            <a:solidFill>
              <a:schemeClr val="bg1"/>
            </a:solidFill>
          </a:endParaRPr>
        </a:p>
      </xdr:txBody>
    </xdr:sp>
    <xdr:clientData/>
  </xdr:twoCellAnchor>
  <xdr:twoCellAnchor>
    <xdr:from>
      <xdr:col>0</xdr:col>
      <xdr:colOff>95250</xdr:colOff>
      <xdr:row>9</xdr:row>
      <xdr:rowOff>38100</xdr:rowOff>
    </xdr:from>
    <xdr:to>
      <xdr:col>2</xdr:col>
      <xdr:colOff>196850</xdr:colOff>
      <xdr:row>11</xdr:row>
      <xdr:rowOff>12700</xdr:rowOff>
    </xdr:to>
    <xdr:sp macro="" textlink="">
      <xdr:nvSpPr>
        <xdr:cNvPr id="9" name="TextBox 8">
          <a:extLst>
            <a:ext uri="{FF2B5EF4-FFF2-40B4-BE49-F238E27FC236}">
              <a16:creationId xmlns:a16="http://schemas.microsoft.com/office/drawing/2014/main" id="{B07CDC4C-B4B4-4162-83AF-A9E8F6E003E7}"/>
            </a:ext>
          </a:extLst>
        </xdr:cNvPr>
        <xdr:cNvSpPr txBox="1"/>
      </xdr:nvSpPr>
      <xdr:spPr>
        <a:xfrm>
          <a:off x="95250" y="1638300"/>
          <a:ext cx="1162050" cy="3302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rgbClr val="FFC000"/>
              </a:solidFill>
            </a:rPr>
            <a:t>$649.0k</a:t>
          </a:r>
        </a:p>
      </xdr:txBody>
    </xdr:sp>
    <xdr:clientData/>
  </xdr:twoCellAnchor>
  <xdr:twoCellAnchor>
    <xdr:from>
      <xdr:col>0</xdr:col>
      <xdr:colOff>139700</xdr:colOff>
      <xdr:row>16</xdr:row>
      <xdr:rowOff>0</xdr:rowOff>
    </xdr:from>
    <xdr:to>
      <xdr:col>1</xdr:col>
      <xdr:colOff>457200</xdr:colOff>
      <xdr:row>17</xdr:row>
      <xdr:rowOff>120650</xdr:rowOff>
    </xdr:to>
    <xdr:sp macro="" textlink="pivots!J5">
      <xdr:nvSpPr>
        <xdr:cNvPr id="10" name="TextBox 9">
          <a:extLst>
            <a:ext uri="{FF2B5EF4-FFF2-40B4-BE49-F238E27FC236}">
              <a16:creationId xmlns:a16="http://schemas.microsoft.com/office/drawing/2014/main" id="{37EEFD5B-F800-4020-A401-C6DF8EB9943B}"/>
            </a:ext>
          </a:extLst>
        </xdr:cNvPr>
        <xdr:cNvSpPr txBox="1"/>
      </xdr:nvSpPr>
      <xdr:spPr>
        <a:xfrm>
          <a:off x="139700" y="2844800"/>
          <a:ext cx="717550" cy="2984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3E59CC1-22D0-4512-8C65-44333C13CEF5}" type="TxLink">
            <a:rPr lang="en-US" sz="1800" b="0" i="0" u="none" strike="noStrike">
              <a:solidFill>
                <a:schemeClr val="bg1"/>
              </a:solidFill>
              <a:latin typeface="Aptos Narrow"/>
            </a:rPr>
            <a:pPr/>
            <a:t>2.3</a:t>
          </a:fld>
          <a:endParaRPr lang="en-AE" sz="1800">
            <a:solidFill>
              <a:schemeClr val="bg1"/>
            </a:solidFill>
          </a:endParaRPr>
        </a:p>
      </xdr:txBody>
    </xdr:sp>
    <xdr:clientData/>
  </xdr:twoCellAnchor>
  <xdr:twoCellAnchor>
    <xdr:from>
      <xdr:col>0</xdr:col>
      <xdr:colOff>114300</xdr:colOff>
      <xdr:row>1</xdr:row>
      <xdr:rowOff>120650</xdr:rowOff>
    </xdr:from>
    <xdr:to>
      <xdr:col>1</xdr:col>
      <xdr:colOff>527050</xdr:colOff>
      <xdr:row>3</xdr:row>
      <xdr:rowOff>57150</xdr:rowOff>
    </xdr:to>
    <xdr:sp macro="" textlink="">
      <xdr:nvSpPr>
        <xdr:cNvPr id="3" name="TextBox 2">
          <a:extLst>
            <a:ext uri="{FF2B5EF4-FFF2-40B4-BE49-F238E27FC236}">
              <a16:creationId xmlns:a16="http://schemas.microsoft.com/office/drawing/2014/main" id="{BDF0BB39-2668-4FDB-872A-435B85B77FE3}"/>
            </a:ext>
          </a:extLst>
        </xdr:cNvPr>
        <xdr:cNvSpPr txBox="1"/>
      </xdr:nvSpPr>
      <xdr:spPr>
        <a:xfrm>
          <a:off x="114300" y="298450"/>
          <a:ext cx="812800" cy="2921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a:t>
          </a:r>
          <a:r>
            <a:rPr lang="en-AE" sz="1100" b="1">
              <a:solidFill>
                <a:schemeClr val="bg1"/>
              </a:solidFill>
            </a:rPr>
            <a:t>Orders</a:t>
          </a:r>
        </a:p>
      </xdr:txBody>
    </xdr:sp>
    <xdr:clientData/>
  </xdr:twoCellAnchor>
  <xdr:twoCellAnchor>
    <xdr:from>
      <xdr:col>0</xdr:col>
      <xdr:colOff>76200</xdr:colOff>
      <xdr:row>4</xdr:row>
      <xdr:rowOff>120650</xdr:rowOff>
    </xdr:from>
    <xdr:to>
      <xdr:col>1</xdr:col>
      <xdr:colOff>615950</xdr:colOff>
      <xdr:row>6</xdr:row>
      <xdr:rowOff>63500</xdr:rowOff>
    </xdr:to>
    <xdr:sp macro="" textlink="">
      <xdr:nvSpPr>
        <xdr:cNvPr id="4" name="TextBox 3">
          <a:extLst>
            <a:ext uri="{FF2B5EF4-FFF2-40B4-BE49-F238E27FC236}">
              <a16:creationId xmlns:a16="http://schemas.microsoft.com/office/drawing/2014/main" id="{1E706433-55BC-43D5-A682-C6DFE8F43E93}"/>
            </a:ext>
          </a:extLst>
        </xdr:cNvPr>
        <xdr:cNvSpPr txBox="1"/>
      </xdr:nvSpPr>
      <xdr:spPr>
        <a:xfrm>
          <a:off x="76200" y="831850"/>
          <a:ext cx="939800" cy="2984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a:t>
          </a:r>
          <a:r>
            <a:rPr lang="en-AE" sz="1100" b="1">
              <a:solidFill>
                <a:schemeClr val="bg1"/>
              </a:solidFill>
            </a:rPr>
            <a:t>Quantity</a:t>
          </a:r>
        </a:p>
      </xdr:txBody>
    </xdr:sp>
    <xdr:clientData/>
  </xdr:twoCellAnchor>
  <xdr:twoCellAnchor>
    <xdr:from>
      <xdr:col>0</xdr:col>
      <xdr:colOff>76200</xdr:colOff>
      <xdr:row>7</xdr:row>
      <xdr:rowOff>152400</xdr:rowOff>
    </xdr:from>
    <xdr:to>
      <xdr:col>1</xdr:col>
      <xdr:colOff>609600</xdr:colOff>
      <xdr:row>9</xdr:row>
      <xdr:rowOff>101600</xdr:rowOff>
    </xdr:to>
    <xdr:sp macro="" textlink="">
      <xdr:nvSpPr>
        <xdr:cNvPr id="16" name="TextBox 15">
          <a:extLst>
            <a:ext uri="{FF2B5EF4-FFF2-40B4-BE49-F238E27FC236}">
              <a16:creationId xmlns:a16="http://schemas.microsoft.com/office/drawing/2014/main" id="{15A8BBC9-8D98-4BB5-AE03-6D918C99CD5C}"/>
            </a:ext>
          </a:extLst>
        </xdr:cNvPr>
        <xdr:cNvSpPr txBox="1"/>
      </xdr:nvSpPr>
      <xdr:spPr>
        <a:xfrm>
          <a:off x="76200" y="1397000"/>
          <a:ext cx="933450" cy="3048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rPr>
            <a:t>💰</a:t>
          </a:r>
          <a:r>
            <a:rPr lang="en-AE" sz="1200" b="1">
              <a:solidFill>
                <a:schemeClr val="bg1"/>
              </a:solidFill>
            </a:rPr>
            <a:t>Amount</a:t>
          </a:r>
        </a:p>
      </xdr:txBody>
    </xdr:sp>
    <xdr:clientData/>
  </xdr:twoCellAnchor>
  <xdr:twoCellAnchor>
    <xdr:from>
      <xdr:col>0</xdr:col>
      <xdr:colOff>63500</xdr:colOff>
      <xdr:row>11</xdr:row>
      <xdr:rowOff>50800</xdr:rowOff>
    </xdr:from>
    <xdr:to>
      <xdr:col>2</xdr:col>
      <xdr:colOff>101600</xdr:colOff>
      <xdr:row>13</xdr:row>
      <xdr:rowOff>76200</xdr:rowOff>
    </xdr:to>
    <xdr:sp macro="" textlink="">
      <xdr:nvSpPr>
        <xdr:cNvPr id="17" name="TextBox 16">
          <a:extLst>
            <a:ext uri="{FF2B5EF4-FFF2-40B4-BE49-F238E27FC236}">
              <a16:creationId xmlns:a16="http://schemas.microsoft.com/office/drawing/2014/main" id="{0EDC49FA-9833-4C55-BA09-317663FD636B}"/>
            </a:ext>
          </a:extLst>
        </xdr:cNvPr>
        <xdr:cNvSpPr txBox="1"/>
      </xdr:nvSpPr>
      <xdr:spPr>
        <a:xfrm>
          <a:off x="63500" y="2006600"/>
          <a:ext cx="1098550" cy="3810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a:t>
          </a:r>
          <a:r>
            <a:rPr lang="en-AE" sz="1200" b="1">
              <a:solidFill>
                <a:schemeClr val="bg1"/>
              </a:solidFill>
            </a:rPr>
            <a:t>Avg</a:t>
          </a:r>
          <a:r>
            <a:rPr lang="en-AE" sz="1200" b="1"/>
            <a:t> </a:t>
          </a:r>
          <a:r>
            <a:rPr lang="en-AE" sz="1200" b="1">
              <a:solidFill>
                <a:schemeClr val="bg1"/>
              </a:solidFill>
            </a:rPr>
            <a:t>Rating</a:t>
          </a:r>
        </a:p>
      </xdr:txBody>
    </xdr:sp>
    <xdr:clientData/>
  </xdr:twoCellAnchor>
  <xdr:twoCellAnchor>
    <xdr:from>
      <xdr:col>0</xdr:col>
      <xdr:colOff>76200</xdr:colOff>
      <xdr:row>14</xdr:row>
      <xdr:rowOff>95250</xdr:rowOff>
    </xdr:from>
    <xdr:to>
      <xdr:col>2</xdr:col>
      <xdr:colOff>76200</xdr:colOff>
      <xdr:row>16</xdr:row>
      <xdr:rowOff>69850</xdr:rowOff>
    </xdr:to>
    <xdr:sp macro="" textlink="">
      <xdr:nvSpPr>
        <xdr:cNvPr id="18" name="TextBox 17">
          <a:extLst>
            <a:ext uri="{FF2B5EF4-FFF2-40B4-BE49-F238E27FC236}">
              <a16:creationId xmlns:a16="http://schemas.microsoft.com/office/drawing/2014/main" id="{7AA04403-0E97-4D19-82B6-F6E75DC804D5}"/>
            </a:ext>
          </a:extLst>
        </xdr:cNvPr>
        <xdr:cNvSpPr txBox="1"/>
      </xdr:nvSpPr>
      <xdr:spPr>
        <a:xfrm>
          <a:off x="76200" y="2584450"/>
          <a:ext cx="1060450" cy="33020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a:t>
          </a:r>
          <a:r>
            <a:rPr lang="en-AE" sz="1200" b="1">
              <a:solidFill>
                <a:schemeClr val="bg1"/>
              </a:solidFill>
            </a:rPr>
            <a:t>Avg Days</a:t>
          </a:r>
        </a:p>
      </xdr:txBody>
    </xdr:sp>
    <xdr:clientData/>
  </xdr:twoCellAnchor>
  <xdr:twoCellAnchor>
    <xdr:from>
      <xdr:col>3</xdr:col>
      <xdr:colOff>228600</xdr:colOff>
      <xdr:row>1</xdr:row>
      <xdr:rowOff>171450</xdr:rowOff>
    </xdr:from>
    <xdr:to>
      <xdr:col>8</xdr:col>
      <xdr:colOff>25400</xdr:colOff>
      <xdr:row>11</xdr:row>
      <xdr:rowOff>95250</xdr:rowOff>
    </xdr:to>
    <xdr:graphicFrame macro="">
      <xdr:nvGraphicFramePr>
        <xdr:cNvPr id="19" name="Chart 18">
          <a:extLst>
            <a:ext uri="{FF2B5EF4-FFF2-40B4-BE49-F238E27FC236}">
              <a16:creationId xmlns:a16="http://schemas.microsoft.com/office/drawing/2014/main" id="{75B09C32-97EE-4151-A07E-D28B377E41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247650</xdr:colOff>
      <xdr:row>2</xdr:row>
      <xdr:rowOff>0</xdr:rowOff>
    </xdr:from>
    <xdr:to>
      <xdr:col>13</xdr:col>
      <xdr:colOff>165100</xdr:colOff>
      <xdr:row>11</xdr:row>
      <xdr:rowOff>95250</xdr:rowOff>
    </xdr:to>
    <xdr:sp macro="" textlink="">
      <xdr:nvSpPr>
        <xdr:cNvPr id="21" name="Rectangle 20">
          <a:extLst>
            <a:ext uri="{FF2B5EF4-FFF2-40B4-BE49-F238E27FC236}">
              <a16:creationId xmlns:a16="http://schemas.microsoft.com/office/drawing/2014/main" id="{682BD58C-3C4E-4325-90F8-C3809C108DD0}"/>
            </a:ext>
          </a:extLst>
        </xdr:cNvPr>
        <xdr:cNvSpPr/>
      </xdr:nvSpPr>
      <xdr:spPr>
        <a:xfrm>
          <a:off x="5010150" y="355600"/>
          <a:ext cx="3219450" cy="1695450"/>
        </a:xfrm>
        <a:prstGeom prst="rect">
          <a:avLst/>
        </a:prstGeom>
        <a:solidFill>
          <a:schemeClr val="bg1"/>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AE" sz="1100"/>
        </a:p>
      </xdr:txBody>
    </xdr:sp>
    <xdr:clientData/>
  </xdr:twoCellAnchor>
  <xdr:twoCellAnchor editAs="oneCell">
    <xdr:from>
      <xdr:col>8</xdr:col>
      <xdr:colOff>444500</xdr:colOff>
      <xdr:row>3</xdr:row>
      <xdr:rowOff>158750</xdr:rowOff>
    </xdr:from>
    <xdr:to>
      <xdr:col>12</xdr:col>
      <xdr:colOff>558800</xdr:colOff>
      <xdr:row>11</xdr:row>
      <xdr:rowOff>25400</xdr:rowOff>
    </xdr:to>
    <xdr:pic>
      <xdr:nvPicPr>
        <xdr:cNvPr id="23" name="Picture 22">
          <a:extLst>
            <a:ext uri="{FF2B5EF4-FFF2-40B4-BE49-F238E27FC236}">
              <a16:creationId xmlns:a16="http://schemas.microsoft.com/office/drawing/2014/main" id="{FF6747D7-F0A0-40BE-8BF7-E286718510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07000" y="692150"/>
          <a:ext cx="2755900" cy="128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374650</xdr:colOff>
      <xdr:row>2</xdr:row>
      <xdr:rowOff>44450</xdr:rowOff>
    </xdr:from>
    <xdr:to>
      <xdr:col>18</xdr:col>
      <xdr:colOff>196850</xdr:colOff>
      <xdr:row>11</xdr:row>
      <xdr:rowOff>107950</xdr:rowOff>
    </xdr:to>
    <xdr:graphicFrame macro="">
      <xdr:nvGraphicFramePr>
        <xdr:cNvPr id="25" name="Chart 24">
          <a:extLst>
            <a:ext uri="{FF2B5EF4-FFF2-40B4-BE49-F238E27FC236}">
              <a16:creationId xmlns:a16="http://schemas.microsoft.com/office/drawing/2014/main" id="{5D31AB2F-FB7A-4A6F-9964-F4DD60C0F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241300</xdr:colOff>
      <xdr:row>12</xdr:row>
      <xdr:rowOff>139700</xdr:rowOff>
    </xdr:from>
    <xdr:to>
      <xdr:col>8</xdr:col>
      <xdr:colOff>69850</xdr:colOff>
      <xdr:row>35</xdr:row>
      <xdr:rowOff>165100</xdr:rowOff>
    </xdr:to>
    <xdr:graphicFrame macro="">
      <xdr:nvGraphicFramePr>
        <xdr:cNvPr id="26" name="Chart 25">
          <a:extLst>
            <a:ext uri="{FF2B5EF4-FFF2-40B4-BE49-F238E27FC236}">
              <a16:creationId xmlns:a16="http://schemas.microsoft.com/office/drawing/2014/main" id="{D2D45777-09C5-4535-9C4D-13CDD22C26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609600</xdr:colOff>
      <xdr:row>25</xdr:row>
      <xdr:rowOff>38100</xdr:rowOff>
    </xdr:from>
    <xdr:to>
      <xdr:col>6</xdr:col>
      <xdr:colOff>127000</xdr:colOff>
      <xdr:row>34</xdr:row>
      <xdr:rowOff>0</xdr:rowOff>
    </xdr:to>
    <xdr:graphicFrame macro="">
      <xdr:nvGraphicFramePr>
        <xdr:cNvPr id="24" name="Chart 23">
          <a:extLst>
            <a:ext uri="{FF2B5EF4-FFF2-40B4-BE49-F238E27FC236}">
              <a16:creationId xmlns:a16="http://schemas.microsoft.com/office/drawing/2014/main" id="{486B8B2D-6FB7-4475-9173-56D82D28F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298450</xdr:colOff>
      <xdr:row>12</xdr:row>
      <xdr:rowOff>114300</xdr:rowOff>
    </xdr:from>
    <xdr:to>
      <xdr:col>13</xdr:col>
      <xdr:colOff>228600</xdr:colOff>
      <xdr:row>35</xdr:row>
      <xdr:rowOff>152400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5733231E-0458-4B08-8B79-448DDD17EF6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60950" y="2247900"/>
              <a:ext cx="3232150" cy="412750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133350</xdr:colOff>
      <xdr:row>19</xdr:row>
      <xdr:rowOff>76200</xdr:rowOff>
    </xdr:from>
    <xdr:to>
      <xdr:col>13</xdr:col>
      <xdr:colOff>146050</xdr:colOff>
      <xdr:row>25</xdr:row>
      <xdr:rowOff>44450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3754CB37-8CEF-45DC-BF38-ADE14A5B0B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537450" y="3454400"/>
              <a:ext cx="673100" cy="103505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381001</xdr:colOff>
      <xdr:row>12</xdr:row>
      <xdr:rowOff>114300</xdr:rowOff>
    </xdr:from>
    <xdr:to>
      <xdr:col>18</xdr:col>
      <xdr:colOff>215900</xdr:colOff>
      <xdr:row>23</xdr:row>
      <xdr:rowOff>50800</xdr:rowOff>
    </xdr:to>
    <xdr:graphicFrame macro="">
      <xdr:nvGraphicFramePr>
        <xdr:cNvPr id="29" name="Chart 28">
          <a:extLst>
            <a:ext uri="{FF2B5EF4-FFF2-40B4-BE49-F238E27FC236}">
              <a16:creationId xmlns:a16="http://schemas.microsoft.com/office/drawing/2014/main" id="{DD77080F-4B44-4842-A6AA-3F1F18C28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400050</xdr:colOff>
      <xdr:row>24</xdr:row>
      <xdr:rowOff>19050</xdr:rowOff>
    </xdr:from>
    <xdr:to>
      <xdr:col>18</xdr:col>
      <xdr:colOff>228600</xdr:colOff>
      <xdr:row>35</xdr:row>
      <xdr:rowOff>95250</xdr:rowOff>
    </xdr:to>
    <xdr:graphicFrame macro="">
      <xdr:nvGraphicFramePr>
        <xdr:cNvPr id="32" name="Chart 31">
          <a:extLst>
            <a:ext uri="{FF2B5EF4-FFF2-40B4-BE49-F238E27FC236}">
              <a16:creationId xmlns:a16="http://schemas.microsoft.com/office/drawing/2014/main" id="{A2553EA0-DF45-4352-8398-7361316A9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120650</xdr:colOff>
      <xdr:row>18</xdr:row>
      <xdr:rowOff>38101</xdr:rowOff>
    </xdr:from>
    <xdr:to>
      <xdr:col>2</xdr:col>
      <xdr:colOff>368300</xdr:colOff>
      <xdr:row>28</xdr:row>
      <xdr:rowOff>12700</xdr:rowOff>
    </xdr:to>
    <mc:AlternateContent xmlns:mc="http://schemas.openxmlformats.org/markup-compatibility/2006">
      <mc:Choice xmlns:a14="http://schemas.microsoft.com/office/drawing/2010/main" Requires="a14">
        <xdr:graphicFrame macro="">
          <xdr:nvGraphicFramePr>
            <xdr:cNvPr id="37" name="Order Mode">
              <a:extLst>
                <a:ext uri="{FF2B5EF4-FFF2-40B4-BE49-F238E27FC236}">
                  <a16:creationId xmlns:a16="http://schemas.microsoft.com/office/drawing/2014/main" id="{C5CBADD1-0A09-4BD6-A02A-2B60C4823DB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20650" y="3281750"/>
              <a:ext cx="1311704" cy="1776626"/>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28</xdr:row>
      <xdr:rowOff>82549</xdr:rowOff>
    </xdr:from>
    <xdr:to>
      <xdr:col>2</xdr:col>
      <xdr:colOff>361950</xdr:colOff>
      <xdr:row>36</xdr:row>
      <xdr:rowOff>63500</xdr:rowOff>
    </xdr:to>
    <mc:AlternateContent xmlns:mc="http://schemas.openxmlformats.org/markup-compatibility/2006">
      <mc:Choice xmlns:a14="http://schemas.microsoft.com/office/drawing/2010/main" Requires="a14">
        <xdr:graphicFrame macro="">
          <xdr:nvGraphicFramePr>
            <xdr:cNvPr id="38" name="Gender Value">
              <a:extLst>
                <a:ext uri="{FF2B5EF4-FFF2-40B4-BE49-F238E27FC236}">
                  <a16:creationId xmlns:a16="http://schemas.microsoft.com/office/drawing/2014/main" id="{4C5FAE1D-0292-4CE2-AF6C-F5F7A4643190}"/>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14300" y="5128225"/>
              <a:ext cx="1311704" cy="142257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254000</xdr:colOff>
      <xdr:row>2</xdr:row>
      <xdr:rowOff>31750</xdr:rowOff>
    </xdr:from>
    <xdr:to>
      <xdr:col>12</xdr:col>
      <xdr:colOff>381000</xdr:colOff>
      <xdr:row>4</xdr:row>
      <xdr:rowOff>12700</xdr:rowOff>
    </xdr:to>
    <xdr:sp macro="" textlink="">
      <xdr:nvSpPr>
        <xdr:cNvPr id="11" name="TextBox 10">
          <a:extLst>
            <a:ext uri="{FF2B5EF4-FFF2-40B4-BE49-F238E27FC236}">
              <a16:creationId xmlns:a16="http://schemas.microsoft.com/office/drawing/2014/main" id="{25FCDD76-75B6-48B1-8783-4716EE3F74DD}"/>
            </a:ext>
          </a:extLst>
        </xdr:cNvPr>
        <xdr:cNvSpPr txBox="1"/>
      </xdr:nvSpPr>
      <xdr:spPr>
        <a:xfrm>
          <a:off x="5676900" y="387350"/>
          <a:ext cx="2108200" cy="336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400" b="1"/>
            <a:t>How They Like To Buy?</a:t>
          </a:r>
        </a:p>
      </xdr:txBody>
    </xdr:sp>
    <xdr:clientData/>
  </xdr:twoCellAnchor>
  <xdr:twoCellAnchor editAs="oneCell">
    <xdr:from>
      <xdr:col>0</xdr:col>
      <xdr:colOff>0</xdr:colOff>
      <xdr:row>0</xdr:row>
      <xdr:rowOff>0</xdr:rowOff>
    </xdr:from>
    <xdr:to>
      <xdr:col>2</xdr:col>
      <xdr:colOff>381000</xdr:colOff>
      <xdr:row>2</xdr:row>
      <xdr:rowOff>31750</xdr:rowOff>
    </xdr:to>
    <xdr:pic>
      <xdr:nvPicPr>
        <xdr:cNvPr id="39" name="Picture 38">
          <a:extLst>
            <a:ext uri="{FF2B5EF4-FFF2-40B4-BE49-F238E27FC236}">
              <a16:creationId xmlns:a16="http://schemas.microsoft.com/office/drawing/2014/main" id="{C15E1B92-FE38-4CEE-8A1A-2E98A7E232B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0" y="0"/>
          <a:ext cx="1441450" cy="387350"/>
        </a:xfrm>
        <a:prstGeom prst="rect">
          <a:avLst/>
        </a:prstGeom>
      </xdr:spPr>
    </xdr:pic>
    <xdr:clientData/>
  </xdr:twoCellAnchor>
  <xdr:twoCellAnchor>
    <xdr:from>
      <xdr:col>0</xdr:col>
      <xdr:colOff>171450</xdr:colOff>
      <xdr:row>12</xdr:row>
      <xdr:rowOff>120650</xdr:rowOff>
    </xdr:from>
    <xdr:to>
      <xdr:col>1</xdr:col>
      <xdr:colOff>527050</xdr:colOff>
      <xdr:row>14</xdr:row>
      <xdr:rowOff>63500</xdr:rowOff>
    </xdr:to>
    <xdr:sp macro="" textlink="pivots!J5">
      <xdr:nvSpPr>
        <xdr:cNvPr id="40" name="TextBox 39">
          <a:extLst>
            <a:ext uri="{FF2B5EF4-FFF2-40B4-BE49-F238E27FC236}">
              <a16:creationId xmlns:a16="http://schemas.microsoft.com/office/drawing/2014/main" id="{06FFD00B-9FD9-45C5-AA06-C479575AE228}"/>
            </a:ext>
          </a:extLst>
        </xdr:cNvPr>
        <xdr:cNvSpPr txBox="1"/>
      </xdr:nvSpPr>
      <xdr:spPr>
        <a:xfrm>
          <a:off x="171450" y="2254250"/>
          <a:ext cx="755650" cy="298450"/>
        </a:xfrm>
        <a:prstGeom prst="rect">
          <a:avLst/>
        </a:prstGeom>
        <a:solidFill>
          <a:schemeClr val="accent6">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800">
              <a:solidFill>
                <a:schemeClr val="bg1"/>
              </a:solidFill>
            </a:rPr>
            <a:t>4.0</a:t>
          </a:r>
        </a:p>
        <a:p>
          <a:endParaRPr lang="en-AE" sz="18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9.479204050927" createdVersion="7" refreshedVersion="7" minRefreshableVersion="3" recordCount="2400" xr:uid="{4AFBF83E-E640-4266-AD02-8EB112250C31}">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Months"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191608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5DD077-E7B2-4C3B-B386-0B122F3F6771}" name="Pvt Matrix"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formats count="4">
    <format dxfId="8">
      <pivotArea type="all" dataOnly="0" outline="0" fieldPosition="0"/>
    </format>
    <format dxfId="7">
      <pivotArea field="8" type="button" dataOnly="0" labelOnly="1" outline="0" axis="axisRow" fieldPosition="0"/>
    </format>
    <format dxfId="6">
      <pivotArea dataOnly="0" labelOnly="1" fieldPosition="0">
        <references count="1">
          <reference field="14" count="0"/>
        </references>
      </pivotArea>
    </format>
    <format dxfId="5">
      <pivotArea field="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77ECBE-1551-4C54-BABB-E8EC0354DE57}" name="Pvt QTY"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1"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10" x="5"/>
        <item n="More Than 10" x="6"/>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0F4040-8EB8-4C70-9D3F-E80E488A9A36}"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K3:L8" firstHeaderRow="1" firstDataRow="1" firstDataCol="1"/>
  <pivotFields count="17">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1">
    <chartFormat chart="13" format="1"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0"/>
          </reference>
        </references>
      </pivotArea>
    </chartFormat>
    <chartFormat chart="13" format="2">
      <pivotArea type="data" outline="0" fieldPosition="0">
        <references count="2">
          <reference field="4294967294" count="1" selected="0">
            <x v="0"/>
          </reference>
          <reference field="14" count="1" selected="0">
            <x v="0"/>
          </reference>
        </references>
      </pivotArea>
    </chartFormat>
    <chartFormat chart="13" format="3">
      <pivotArea type="data" outline="0" fieldPosition="0">
        <references count="2">
          <reference field="4294967294" count="1" selected="0">
            <x v="0"/>
          </reference>
          <reference field="14" count="1" selected="0">
            <x v="1"/>
          </reference>
        </references>
      </pivotArea>
    </chartFormat>
    <chartFormat chart="13" format="4">
      <pivotArea type="data" outline="0" fieldPosition="0">
        <references count="2">
          <reference field="4294967294" count="1" selected="0">
            <x v="0"/>
          </reference>
          <reference field="14" count="1" selected="0">
            <x v="3"/>
          </reference>
        </references>
      </pivotArea>
    </chartFormat>
    <chartFormat chart="13" format="5">
      <pivotArea type="data" outline="0" fieldPosition="0">
        <references count="2">
          <reference field="4294967294" count="1" selected="0">
            <x v="0"/>
          </reference>
          <reference field="14" count="1" selected="0">
            <x v="2"/>
          </reference>
        </references>
      </pivotArea>
    </chartFormat>
    <chartFormat chart="18" format="11" series="1">
      <pivotArea type="data" outline="0" fieldPosition="0">
        <references count="1">
          <reference field="4294967294" count="1" selected="0">
            <x v="0"/>
          </reference>
        </references>
      </pivotArea>
    </chartFormat>
    <chartFormat chart="18" format="12">
      <pivotArea type="data" outline="0" fieldPosition="0">
        <references count="2">
          <reference field="4294967294" count="1" selected="0">
            <x v="0"/>
          </reference>
          <reference field="14" count="1" selected="0">
            <x v="0"/>
          </reference>
        </references>
      </pivotArea>
    </chartFormat>
    <chartFormat chart="18" format="13">
      <pivotArea type="data" outline="0" fieldPosition="0">
        <references count="2">
          <reference field="4294967294" count="1" selected="0">
            <x v="0"/>
          </reference>
          <reference field="14" count="1" selected="0">
            <x v="1"/>
          </reference>
        </references>
      </pivotArea>
    </chartFormat>
    <chartFormat chart="18" format="14">
      <pivotArea type="data" outline="0" fieldPosition="0">
        <references count="2">
          <reference field="4294967294" count="1" selected="0">
            <x v="0"/>
          </reference>
          <reference field="14" count="1" selected="0">
            <x v="2"/>
          </reference>
        </references>
      </pivotArea>
    </chartFormat>
    <chartFormat chart="18" format="15">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16428-9364-4417-A77D-02A3467B8295}" name="Pvt Gender"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F25"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8">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2"/>
          </reference>
        </references>
      </pivotArea>
    </chartFormat>
    <chartFormat chart="3" format="7" series="1">
      <pivotArea type="data" outline="0" fieldPosition="0">
        <references count="2">
          <reference field="4294967294" count="1" selected="0">
            <x v="0"/>
          </reference>
          <reference field="14" count="1" selected="0">
            <x v="3"/>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 chart="4" format="10" series="1">
      <pivotArea type="data" outline="0" fieldPosition="0">
        <references count="2">
          <reference field="4294967294" count="1" selected="0">
            <x v="0"/>
          </reference>
          <reference field="14" count="1" selected="0">
            <x v="2"/>
          </reference>
        </references>
      </pivotArea>
    </chartFormat>
    <chartFormat chart="4"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C8C13E-43A6-423A-A2DF-AEB6F5281FC0}" name="Pvt Map" cacheId="1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3:D63" firstHeaderRow="0" firstDataRow="1" firstDataCol="2"/>
  <pivotFields count="17">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912EA2-065D-4424-875B-346D6C42A0E5}" name="Pvt  Duration"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19" firstHeaderRow="1" firstDataRow="1"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667D37-B26C-4671-A3FC-F59F0DB42A4E}" name="Pvt Rating"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3:G8" firstHeaderRow="1" firstDataRow="2" firstDataCol="1"/>
  <pivotFields count="17">
    <pivotField showAll="0"/>
    <pivotField dataField="1"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Product" fld="1" subtotal="count" baseField="0" baseItem="0"/>
  </dataFields>
  <chartFormats count="5">
    <chartFormat chart="11" format="25" series="1">
      <pivotArea type="data" outline="0" fieldPosition="0">
        <references count="2">
          <reference field="4294967294" count="1" selected="0">
            <x v="0"/>
          </reference>
          <reference field="9" count="1" selected="0">
            <x v="0"/>
          </reference>
        </references>
      </pivotArea>
    </chartFormat>
    <chartFormat chart="11" format="26" series="1">
      <pivotArea type="data" outline="0" fieldPosition="0">
        <references count="2">
          <reference field="4294967294" count="1" selected="0">
            <x v="0"/>
          </reference>
          <reference field="9" count="1" selected="0">
            <x v="1"/>
          </reference>
        </references>
      </pivotArea>
    </chartFormat>
    <chartFormat chart="11" format="27" series="1">
      <pivotArea type="data" outline="0" fieldPosition="0">
        <references count="2">
          <reference field="4294967294" count="1" selected="0">
            <x v="0"/>
          </reference>
          <reference field="9" count="1" selected="0">
            <x v="2"/>
          </reference>
        </references>
      </pivotArea>
    </chartFormat>
    <chartFormat chart="11" format="28" series="1">
      <pivotArea type="data" outline="0" fieldPosition="0">
        <references count="2">
          <reference field="4294967294" count="1" selected="0">
            <x v="0"/>
          </reference>
          <reference field="9" count="1" selected="0">
            <x v="3"/>
          </reference>
        </references>
      </pivotArea>
    </chartFormat>
    <chartFormat chart="11" format="2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78B5FB-E06B-4CEF-ACA8-F97EEC051416}" name="Pivot Summary"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Average of Rating C" fld="9" subtotal="average" baseField="0" baseItem="0"/>
    <dataField name="Average of Days to Deliver" fld="12" subtotal="average"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1056E2-CD28-4D1D-BB38-20B53AF35883}" name="Piv Trend"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1:C25"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5B7259E7-D8E8-43F7-9335-0629B7907BA4}" sourceName="Order Mode">
  <pivotTables>
    <pivotTable tabId="16" name="Pvt Rating"/>
    <pivotTable tabId="12" name="Pvt Map"/>
    <pivotTable tabId="11" name="PivotTable3"/>
    <pivotTable tabId="11" name="Pvt Gender"/>
    <pivotTable tabId="15" name="Pvt  Duration"/>
    <pivotTable tabId="10" name="Pvt QTY"/>
    <pivotTable tabId="5" name="Piv Trend"/>
  </pivotTables>
  <data>
    <tabular pivotCacheId="119160828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7FE8F34C-E57F-4026-B438-D4E2DDE99AB9}" sourceName="Gender Value">
  <pivotTables>
    <pivotTable tabId="16" name="Pvt Rating"/>
    <pivotTable tabId="12" name="Pvt Map"/>
    <pivotTable tabId="10" name="Pvt QTY"/>
    <pivotTable tabId="5" name="Piv Trend"/>
    <pivotTable tabId="15" name="Pvt  Duration"/>
    <pivotTable tabId="8" name="Pvt Matrix"/>
  </pivotTables>
  <data>
    <tabular pivotCacheId="119160828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631B2DF-12FD-4947-ABFA-4C043829038E}" cache="Slicer_Order_Mode" caption="Order Mode" style="SlicerStyleLight5" rowHeight="230716"/>
  <slicer name="Gender Value" xr10:uid="{07F65992-D0E8-473B-982A-E5CD58F504D3}" cache="Slicer_Gender_Value" caption="Gender Value"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9AE6C-01F6-40D0-87D1-BEA4DA90B23E}">
  <dimension ref="A1:L10"/>
  <sheetViews>
    <sheetView showGridLines="0" topLeftCell="J1" workbookViewId="0">
      <selection activeCell="B6" sqref="B6"/>
    </sheetView>
  </sheetViews>
  <sheetFormatPr defaultRowHeight="14"/>
  <cols>
    <col min="1" max="1" width="14.08203125" bestFit="1" customWidth="1"/>
    <col min="2" max="2" width="15.58203125" bestFit="1" customWidth="1"/>
    <col min="3" max="3" width="6.9140625" bestFit="1" customWidth="1"/>
    <col min="4" max="4" width="5.9140625" bestFit="1" customWidth="1"/>
    <col min="5" max="5" width="9" bestFit="1" customWidth="1"/>
    <col min="6" max="6" width="10.83203125" bestFit="1" customWidth="1"/>
    <col min="8" max="8" width="10.33203125" bestFit="1" customWidth="1"/>
    <col min="9" max="9" width="6.6640625" bestFit="1" customWidth="1"/>
    <col min="10" max="10" width="5.9140625" bestFit="1" customWidth="1"/>
    <col min="11" max="11" width="5.1640625" bestFit="1" customWidth="1"/>
    <col min="12" max="12" width="8" bestFit="1" customWidth="1"/>
  </cols>
  <sheetData>
    <row r="1" spans="1:12">
      <c r="A1" s="7" t="s">
        <v>2544</v>
      </c>
    </row>
    <row r="2" spans="1:12">
      <c r="H2" t="s">
        <v>2535</v>
      </c>
    </row>
    <row r="3" spans="1:12">
      <c r="A3" s="10" t="s">
        <v>2520</v>
      </c>
      <c r="B3" s="10" t="s">
        <v>2530</v>
      </c>
      <c r="C3" s="11"/>
      <c r="D3" s="11"/>
      <c r="E3" s="11"/>
      <c r="F3" s="11"/>
    </row>
    <row r="4" spans="1:12" s="15" customFormat="1" ht="23" customHeight="1">
      <c r="A4" s="14" t="s">
        <v>2528</v>
      </c>
      <c r="B4" s="11" t="s">
        <v>2531</v>
      </c>
      <c r="C4" s="11" t="s">
        <v>2532</v>
      </c>
      <c r="D4" s="11" t="s">
        <v>2533</v>
      </c>
      <c r="E4" s="11" t="s">
        <v>2534</v>
      </c>
      <c r="F4" s="11" t="s">
        <v>2529</v>
      </c>
      <c r="H4" s="16"/>
      <c r="I4" s="17" t="str">
        <f>B4</f>
        <v>Female</v>
      </c>
      <c r="J4" s="17" t="str">
        <f t="shared" ref="J4:K4" si="0">C4</f>
        <v>Male</v>
      </c>
      <c r="K4" s="17" t="str">
        <f t="shared" si="0"/>
        <v>Other</v>
      </c>
      <c r="L4" s="18" t="str">
        <f>E4</f>
        <v>Unknown</v>
      </c>
    </row>
    <row r="5" spans="1:12" ht="22.5" customHeight="1">
      <c r="A5" s="12" t="s">
        <v>18</v>
      </c>
      <c r="B5" s="13">
        <v>0.18961825201634841</v>
      </c>
      <c r="C5" s="13">
        <v>0.12262322351336576</v>
      </c>
      <c r="D5" s="13">
        <v>1.060537752469185E-2</v>
      </c>
      <c r="E5" s="13">
        <v>3.0599220547662797E-2</v>
      </c>
      <c r="F5" s="13">
        <v>0.35344607360206881</v>
      </c>
      <c r="H5" s="19" t="str">
        <f>A5</f>
        <v>App</v>
      </c>
      <c r="I5" s="20">
        <f t="shared" ref="I5:K8" si="1">B5</f>
        <v>0.18961825201634841</v>
      </c>
      <c r="J5" s="20">
        <f t="shared" si="1"/>
        <v>0.12262322351336576</v>
      </c>
      <c r="K5" s="20">
        <f t="shared" si="1"/>
        <v>1.060537752469185E-2</v>
      </c>
      <c r="L5" s="21">
        <f>E5</f>
        <v>3.0599220547662797E-2</v>
      </c>
    </row>
    <row r="6" spans="1:12" ht="22.5" customHeight="1">
      <c r="A6" s="12" t="s">
        <v>51</v>
      </c>
      <c r="B6" s="13">
        <v>5.0283982091147303E-2</v>
      </c>
      <c r="C6" s="13">
        <v>4.3060781812819873E-2</v>
      </c>
      <c r="D6" s="13">
        <v>1.5320025675641944E-3</v>
      </c>
      <c r="E6" s="13">
        <v>1.7794988689097006E-2</v>
      </c>
      <c r="F6" s="13">
        <v>0.11267175516062837</v>
      </c>
      <c r="H6" s="19" t="str">
        <f t="shared" ref="H6:H8" si="2">A6</f>
        <v>Instagram</v>
      </c>
      <c r="I6" s="20">
        <f t="shared" si="1"/>
        <v>5.0283982091147303E-2</v>
      </c>
      <c r="J6" s="20">
        <f t="shared" si="1"/>
        <v>4.3060781812819873E-2</v>
      </c>
      <c r="K6" s="20">
        <f t="shared" si="1"/>
        <v>1.5320025675641944E-3</v>
      </c>
      <c r="L6" s="21">
        <f t="shared" ref="L6:L9" si="3">E6</f>
        <v>1.7794988689097006E-2</v>
      </c>
    </row>
    <row r="7" spans="1:12" ht="22.5" customHeight="1">
      <c r="A7" s="12" t="s">
        <v>70</v>
      </c>
      <c r="B7" s="13">
        <v>6.3496059750411282E-2</v>
      </c>
      <c r="C7" s="13">
        <v>4.6071629863988765E-2</v>
      </c>
      <c r="D7" s="13">
        <v>2.306247051322625E-3</v>
      </c>
      <c r="E7" s="13">
        <v>3.8927934093844286E-3</v>
      </c>
      <c r="F7" s="13">
        <v>0.11576673007510711</v>
      </c>
      <c r="H7" s="19" t="str">
        <f t="shared" si="2"/>
        <v>Partner App</v>
      </c>
      <c r="I7" s="20">
        <f t="shared" si="1"/>
        <v>6.3496059750411282E-2</v>
      </c>
      <c r="J7" s="20">
        <f t="shared" si="1"/>
        <v>4.6071629863988765E-2</v>
      </c>
      <c r="K7" s="20">
        <f t="shared" si="1"/>
        <v>2.306247051322625E-3</v>
      </c>
      <c r="L7" s="21">
        <f t="shared" si="3"/>
        <v>3.8927934093844286E-3</v>
      </c>
    </row>
    <row r="8" spans="1:12" ht="22.5" customHeight="1">
      <c r="A8" s="12" t="s">
        <v>40</v>
      </c>
      <c r="B8" s="13">
        <v>9.6337892927149532E-2</v>
      </c>
      <c r="C8" s="13">
        <v>6.7920115842382611E-2</v>
      </c>
      <c r="D8" s="13">
        <v>5.4979832664581261E-3</v>
      </c>
      <c r="E8" s="13">
        <v>1.2933041488102518E-2</v>
      </c>
      <c r="F8" s="13">
        <v>0.1826890335240928</v>
      </c>
      <c r="H8" s="19" t="str">
        <f t="shared" si="2"/>
        <v>Target.com</v>
      </c>
      <c r="I8" s="20">
        <f t="shared" si="1"/>
        <v>9.6337892927149532E-2</v>
      </c>
      <c r="J8" s="20">
        <f t="shared" si="1"/>
        <v>6.7920115842382611E-2</v>
      </c>
      <c r="K8" s="20">
        <f t="shared" si="1"/>
        <v>5.4979832664581261E-3</v>
      </c>
      <c r="L8" s="21">
        <f t="shared" si="3"/>
        <v>1.2933041488102518E-2</v>
      </c>
    </row>
    <row r="9" spans="1:12" ht="22.5" customHeight="1">
      <c r="A9" s="12" t="s">
        <v>35</v>
      </c>
      <c r="B9" s="13">
        <v>0.12522098709469262</v>
      </c>
      <c r="C9" s="13">
        <v>9.1492740283116228E-2</v>
      </c>
      <c r="D9" s="13">
        <v>6.3042760790965081E-3</v>
      </c>
      <c r="E9" s="13">
        <v>1.2408404181197551E-2</v>
      </c>
      <c r="F9" s="13">
        <v>0.23542640763810288</v>
      </c>
      <c r="H9" s="22" t="str">
        <f>A9</f>
        <v>Website</v>
      </c>
      <c r="I9" s="23">
        <f t="shared" ref="I9" si="4">B9</f>
        <v>0.12522098709469262</v>
      </c>
      <c r="J9" s="23">
        <f t="shared" ref="J9" si="5">C9</f>
        <v>9.1492740283116228E-2</v>
      </c>
      <c r="K9" s="23">
        <f t="shared" ref="K9" si="6">D9</f>
        <v>6.3042760790965081E-3</v>
      </c>
      <c r="L9" s="24">
        <f t="shared" si="3"/>
        <v>1.2408404181197551E-2</v>
      </c>
    </row>
    <row r="10" spans="1:12">
      <c r="A10" s="12" t="s">
        <v>2529</v>
      </c>
      <c r="B10" s="13">
        <v>0.52495717387974916</v>
      </c>
      <c r="C10" s="13">
        <v>0.3711684913156732</v>
      </c>
      <c r="D10" s="13">
        <v>2.6245886489133303E-2</v>
      </c>
      <c r="E10" s="13">
        <v>7.7628448315444312E-2</v>
      </c>
      <c r="F10" s="13">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4E792-4B00-41A5-9733-B2FE5FDDC967}">
  <dimension ref="A1:B11"/>
  <sheetViews>
    <sheetView workbookViewId="0">
      <selection activeCell="B5" sqref="B5"/>
    </sheetView>
  </sheetViews>
  <sheetFormatPr defaultRowHeight="14"/>
  <cols>
    <col min="1" max="1" width="12.9140625" bestFit="1" customWidth="1"/>
    <col min="2" max="2" width="13.4140625" bestFit="1" customWidth="1"/>
  </cols>
  <sheetData>
    <row r="1" spans="1:2">
      <c r="A1" s="7" t="s">
        <v>2543</v>
      </c>
      <c r="B1" s="7"/>
    </row>
    <row r="3" spans="1:2">
      <c r="A3" s="6" t="s">
        <v>2528</v>
      </c>
      <c r="B3" t="s">
        <v>2518</v>
      </c>
    </row>
    <row r="4" spans="1:2">
      <c r="A4" s="8">
        <v>1</v>
      </c>
      <c r="B4" s="5">
        <v>397</v>
      </c>
    </row>
    <row r="5" spans="1:2">
      <c r="A5" s="8">
        <v>2</v>
      </c>
      <c r="B5" s="5">
        <v>540</v>
      </c>
    </row>
    <row r="6" spans="1:2">
      <c r="A6" s="8">
        <v>3</v>
      </c>
      <c r="B6" s="5">
        <v>375</v>
      </c>
    </row>
    <row r="7" spans="1:2">
      <c r="A7" s="8">
        <v>4</v>
      </c>
      <c r="B7" s="5">
        <v>246</v>
      </c>
    </row>
    <row r="8" spans="1:2">
      <c r="A8" s="8">
        <v>5</v>
      </c>
      <c r="B8" s="5">
        <v>195</v>
      </c>
    </row>
    <row r="9" spans="1:2">
      <c r="A9" s="8" t="s">
        <v>2536</v>
      </c>
      <c r="B9" s="5">
        <v>414</v>
      </c>
    </row>
    <row r="10" spans="1:2">
      <c r="A10" s="8" t="s">
        <v>2537</v>
      </c>
      <c r="B10" s="5">
        <v>233</v>
      </c>
    </row>
    <row r="11" spans="1:2">
      <c r="A11" s="8" t="s">
        <v>2529</v>
      </c>
      <c r="B11" s="5">
        <v>2400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433B0-352B-44C2-AE77-301491CE4D34}">
  <dimension ref="A1:L25"/>
  <sheetViews>
    <sheetView workbookViewId="0">
      <selection activeCell="D9" sqref="D9"/>
    </sheetView>
  </sheetViews>
  <sheetFormatPr defaultRowHeight="14"/>
  <cols>
    <col min="1" max="1" width="19.25" bestFit="1" customWidth="1"/>
    <col min="2" max="2" width="15.58203125" bestFit="1" customWidth="1"/>
    <col min="3" max="3" width="4.75" bestFit="1" customWidth="1"/>
    <col min="4" max="4" width="5.5" bestFit="1" customWidth="1"/>
    <col min="5" max="5" width="9" bestFit="1" customWidth="1"/>
    <col min="6" max="6" width="10.83203125" bestFit="1" customWidth="1"/>
    <col min="11" max="11" width="12.9140625" bestFit="1" customWidth="1"/>
    <col min="12" max="12" width="14.5" bestFit="1" customWidth="1"/>
    <col min="13" max="13" width="4.75" bestFit="1" customWidth="1"/>
    <col min="14" max="14" width="5.5" bestFit="1" customWidth="1"/>
    <col min="15" max="15" width="9" bestFit="1" customWidth="1"/>
    <col min="16" max="16" width="10.83203125" bestFit="1" customWidth="1"/>
  </cols>
  <sheetData>
    <row r="1" spans="1:12">
      <c r="A1" s="7" t="s">
        <v>2545</v>
      </c>
    </row>
    <row r="3" spans="1:12">
      <c r="A3" s="6" t="s">
        <v>2519</v>
      </c>
      <c r="B3" s="6" t="s">
        <v>2530</v>
      </c>
      <c r="K3" s="6" t="s">
        <v>2528</v>
      </c>
      <c r="L3" t="s">
        <v>2519</v>
      </c>
    </row>
    <row r="4" spans="1:12">
      <c r="A4" s="6" t="s">
        <v>2528</v>
      </c>
      <c r="B4" t="s">
        <v>2531</v>
      </c>
      <c r="C4" t="s">
        <v>2532</v>
      </c>
      <c r="D4" t="s">
        <v>2533</v>
      </c>
      <c r="E4" t="s">
        <v>2534</v>
      </c>
      <c r="F4" t="s">
        <v>2529</v>
      </c>
      <c r="K4" s="8" t="s">
        <v>2531</v>
      </c>
      <c r="L4" s="5">
        <v>6272</v>
      </c>
    </row>
    <row r="5" spans="1:12">
      <c r="A5" s="8" t="s">
        <v>44</v>
      </c>
      <c r="B5" s="5">
        <v>744</v>
      </c>
      <c r="C5" s="5">
        <v>713</v>
      </c>
      <c r="D5" s="5">
        <v>90</v>
      </c>
      <c r="E5" s="5">
        <v>98</v>
      </c>
      <c r="F5" s="5">
        <v>1645</v>
      </c>
      <c r="K5" s="8" t="s">
        <v>2532</v>
      </c>
      <c r="L5" s="5">
        <v>4672</v>
      </c>
    </row>
    <row r="6" spans="1:12">
      <c r="A6" s="8" t="s">
        <v>39</v>
      </c>
      <c r="B6" s="5">
        <v>716</v>
      </c>
      <c r="C6" s="5">
        <v>598</v>
      </c>
      <c r="D6" s="5">
        <v>18</v>
      </c>
      <c r="E6" s="5">
        <v>214</v>
      </c>
      <c r="F6" s="5">
        <v>1546</v>
      </c>
      <c r="K6" s="8" t="s">
        <v>2533</v>
      </c>
      <c r="L6" s="5">
        <v>317</v>
      </c>
    </row>
    <row r="7" spans="1:12">
      <c r="A7" s="8" t="s">
        <v>26</v>
      </c>
      <c r="B7" s="5">
        <v>627</v>
      </c>
      <c r="C7" s="5">
        <v>393</v>
      </c>
      <c r="D7" s="5">
        <v>29</v>
      </c>
      <c r="E7" s="5">
        <v>137</v>
      </c>
      <c r="F7" s="5">
        <v>1186</v>
      </c>
      <c r="K7" s="8" t="s">
        <v>2534</v>
      </c>
      <c r="L7" s="5">
        <v>736</v>
      </c>
    </row>
    <row r="8" spans="1:12">
      <c r="A8" s="8" t="s">
        <v>22</v>
      </c>
      <c r="B8" s="5">
        <v>568</v>
      </c>
      <c r="C8" s="5">
        <v>306</v>
      </c>
      <c r="D8" s="5">
        <v>22</v>
      </c>
      <c r="E8" s="5">
        <v>16</v>
      </c>
      <c r="F8" s="5">
        <v>912</v>
      </c>
      <c r="K8" s="8" t="s">
        <v>2529</v>
      </c>
      <c r="L8" s="5">
        <v>11997</v>
      </c>
    </row>
    <row r="9" spans="1:12">
      <c r="A9" s="8" t="s">
        <v>54</v>
      </c>
      <c r="B9" s="5">
        <v>482</v>
      </c>
      <c r="C9" s="5">
        <v>295</v>
      </c>
      <c r="D9" s="5">
        <v>8</v>
      </c>
      <c r="E9" s="5">
        <v>22</v>
      </c>
      <c r="F9" s="5">
        <v>807</v>
      </c>
    </row>
    <row r="10" spans="1:12">
      <c r="A10" s="8" t="s">
        <v>16</v>
      </c>
      <c r="B10" s="5">
        <v>428</v>
      </c>
      <c r="C10" s="5">
        <v>293</v>
      </c>
      <c r="D10" s="5"/>
      <c r="E10" s="5">
        <v>24</v>
      </c>
      <c r="F10" s="5">
        <v>745</v>
      </c>
    </row>
    <row r="11" spans="1:12">
      <c r="A11" s="8" t="s">
        <v>46</v>
      </c>
      <c r="B11" s="5">
        <v>445</v>
      </c>
      <c r="C11" s="5">
        <v>202</v>
      </c>
      <c r="D11" s="5">
        <v>14</v>
      </c>
      <c r="E11" s="5">
        <v>39</v>
      </c>
      <c r="F11" s="5">
        <v>700</v>
      </c>
    </row>
    <row r="12" spans="1:12">
      <c r="A12" s="8" t="s">
        <v>32</v>
      </c>
      <c r="B12" s="5">
        <v>431</v>
      </c>
      <c r="C12" s="5">
        <v>187</v>
      </c>
      <c r="D12" s="5">
        <v>14</v>
      </c>
      <c r="E12" s="5">
        <v>15</v>
      </c>
      <c r="F12" s="5">
        <v>647</v>
      </c>
    </row>
    <row r="13" spans="1:12">
      <c r="A13" s="8" t="s">
        <v>42</v>
      </c>
      <c r="B13" s="5">
        <v>264</v>
      </c>
      <c r="C13" s="5">
        <v>318</v>
      </c>
      <c r="D13" s="5">
        <v>15</v>
      </c>
      <c r="E13" s="5">
        <v>9</v>
      </c>
      <c r="F13" s="5">
        <v>606</v>
      </c>
    </row>
    <row r="14" spans="1:12">
      <c r="A14" s="8" t="s">
        <v>37</v>
      </c>
      <c r="B14" s="5">
        <v>296</v>
      </c>
      <c r="C14" s="5">
        <v>275</v>
      </c>
      <c r="D14" s="5">
        <v>9</v>
      </c>
      <c r="E14" s="5">
        <v>23</v>
      </c>
      <c r="F14" s="5">
        <v>603</v>
      </c>
    </row>
    <row r="15" spans="1:12">
      <c r="A15" s="8" t="s">
        <v>123</v>
      </c>
      <c r="B15" s="5">
        <v>153</v>
      </c>
      <c r="C15" s="5">
        <v>246</v>
      </c>
      <c r="D15" s="5">
        <v>30</v>
      </c>
      <c r="E15" s="5">
        <v>8</v>
      </c>
      <c r="F15" s="5">
        <v>437</v>
      </c>
    </row>
    <row r="16" spans="1:12">
      <c r="A16" s="8" t="s">
        <v>146</v>
      </c>
      <c r="B16" s="5">
        <v>189</v>
      </c>
      <c r="C16" s="5">
        <v>168</v>
      </c>
      <c r="D16" s="5">
        <v>10</v>
      </c>
      <c r="E16" s="5">
        <v>31</v>
      </c>
      <c r="F16" s="5">
        <v>398</v>
      </c>
    </row>
    <row r="17" spans="1:6">
      <c r="A17" s="8" t="s">
        <v>69</v>
      </c>
      <c r="B17" s="5">
        <v>234</v>
      </c>
      <c r="C17" s="5">
        <v>93</v>
      </c>
      <c r="D17" s="5">
        <v>19</v>
      </c>
      <c r="E17" s="5">
        <v>24</v>
      </c>
      <c r="F17" s="5">
        <v>370</v>
      </c>
    </row>
    <row r="18" spans="1:6">
      <c r="A18" s="8" t="s">
        <v>30</v>
      </c>
      <c r="B18" s="5">
        <v>146</v>
      </c>
      <c r="C18" s="5">
        <v>94</v>
      </c>
      <c r="D18" s="5">
        <v>4</v>
      </c>
      <c r="E18" s="5">
        <v>28</v>
      </c>
      <c r="F18" s="5">
        <v>272</v>
      </c>
    </row>
    <row r="19" spans="1:6">
      <c r="A19" s="8" t="s">
        <v>135</v>
      </c>
      <c r="B19" s="5">
        <v>127</v>
      </c>
      <c r="C19" s="5">
        <v>118</v>
      </c>
      <c r="D19" s="5">
        <v>13</v>
      </c>
      <c r="E19" s="5">
        <v>12</v>
      </c>
      <c r="F19" s="5">
        <v>270</v>
      </c>
    </row>
    <row r="20" spans="1:6">
      <c r="A20" s="8" t="s">
        <v>67</v>
      </c>
      <c r="B20" s="5">
        <v>179</v>
      </c>
      <c r="C20" s="5">
        <v>76</v>
      </c>
      <c r="D20" s="5">
        <v>3</v>
      </c>
      <c r="E20" s="5"/>
      <c r="F20" s="5">
        <v>258</v>
      </c>
    </row>
    <row r="21" spans="1:6">
      <c r="A21" s="8" t="s">
        <v>128</v>
      </c>
      <c r="B21" s="5">
        <v>99</v>
      </c>
      <c r="C21" s="5">
        <v>69</v>
      </c>
      <c r="D21" s="5">
        <v>3</v>
      </c>
      <c r="E21" s="5">
        <v>24</v>
      </c>
      <c r="F21" s="5">
        <v>195</v>
      </c>
    </row>
    <row r="22" spans="1:6">
      <c r="A22" s="8" t="s">
        <v>76</v>
      </c>
      <c r="B22" s="5">
        <v>75</v>
      </c>
      <c r="C22" s="5">
        <v>103</v>
      </c>
      <c r="D22" s="5">
        <v>4</v>
      </c>
      <c r="E22" s="5">
        <v>6</v>
      </c>
      <c r="F22" s="5">
        <v>188</v>
      </c>
    </row>
    <row r="23" spans="1:6">
      <c r="A23" s="8" t="s">
        <v>81</v>
      </c>
      <c r="B23" s="5">
        <v>43</v>
      </c>
      <c r="C23" s="5">
        <v>90</v>
      </c>
      <c r="D23" s="5">
        <v>8</v>
      </c>
      <c r="E23" s="5">
        <v>6</v>
      </c>
      <c r="F23" s="5">
        <v>147</v>
      </c>
    </row>
    <row r="24" spans="1:6">
      <c r="A24" s="8" t="s">
        <v>171</v>
      </c>
      <c r="B24" s="5">
        <v>26</v>
      </c>
      <c r="C24" s="5">
        <v>35</v>
      </c>
      <c r="D24" s="5">
        <v>4</v>
      </c>
      <c r="E24" s="5"/>
      <c r="F24" s="5">
        <v>65</v>
      </c>
    </row>
    <row r="25" spans="1:6">
      <c r="A25" s="8" t="s">
        <v>2529</v>
      </c>
      <c r="B25" s="5">
        <v>6272</v>
      </c>
      <c r="C25" s="5">
        <v>4672</v>
      </c>
      <c r="D25" s="5">
        <v>317</v>
      </c>
      <c r="E25" s="5">
        <v>736</v>
      </c>
      <c r="F25" s="5">
        <v>11997</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58F6-680D-4A06-8E9A-1AA92CF380EC}">
  <dimension ref="A1:L64"/>
  <sheetViews>
    <sheetView workbookViewId="0">
      <selection activeCell="G18" sqref="G18"/>
    </sheetView>
  </sheetViews>
  <sheetFormatPr defaultRowHeight="14"/>
  <cols>
    <col min="1" max="1" width="13.6640625" bestFit="1" customWidth="1"/>
    <col min="2" max="2" width="20.33203125" bestFit="1" customWidth="1"/>
    <col min="3" max="3" width="14.5" bestFit="1" customWidth="1"/>
    <col min="4" max="4" width="14.08203125" bestFit="1" customWidth="1"/>
    <col min="6" max="6" width="13.6640625" bestFit="1" customWidth="1"/>
    <col min="7" max="7" width="20.33203125" bestFit="1" customWidth="1"/>
    <col min="8" max="8" width="14.5" bestFit="1" customWidth="1"/>
    <col min="10" max="10" width="13.6640625" bestFit="1" customWidth="1"/>
    <col min="11" max="11" width="20.33203125" bestFit="1" customWidth="1"/>
    <col min="12" max="12" width="14.08203125" bestFit="1" customWidth="1"/>
  </cols>
  <sheetData>
    <row r="1" spans="1:12">
      <c r="A1" s="7" t="s">
        <v>2553</v>
      </c>
    </row>
    <row r="2" spans="1:12">
      <c r="F2" t="s">
        <v>2546</v>
      </c>
      <c r="J2" t="s">
        <v>2547</v>
      </c>
    </row>
    <row r="3" spans="1:12">
      <c r="A3" s="6" t="s">
        <v>10</v>
      </c>
      <c r="B3" s="6" t="s">
        <v>11</v>
      </c>
      <c r="C3" t="s">
        <v>2519</v>
      </c>
      <c r="D3" t="s">
        <v>2520</v>
      </c>
      <c r="F3" s="25" t="s">
        <v>10</v>
      </c>
      <c r="G3" s="25" t="s">
        <v>11</v>
      </c>
      <c r="H3" s="25" t="s">
        <v>2519</v>
      </c>
      <c r="J3" s="25" t="s">
        <v>10</v>
      </c>
      <c r="K3" s="25" t="s">
        <v>11</v>
      </c>
      <c r="L3" s="32" t="s">
        <v>2520</v>
      </c>
    </row>
    <row r="4" spans="1:12">
      <c r="A4" t="s">
        <v>19</v>
      </c>
      <c r="B4" t="s">
        <v>115</v>
      </c>
      <c r="C4" s="5">
        <v>579</v>
      </c>
      <c r="D4" s="5">
        <v>31884.999999999996</v>
      </c>
      <c r="F4" s="26" t="str">
        <f>IF(A4="","",A4)</f>
        <v>California</v>
      </c>
      <c r="G4" s="26" t="str">
        <f t="shared" ref="G4:H19" si="0">IF(B4="","",B4)</f>
        <v>Alameda County</v>
      </c>
      <c r="H4" s="26">
        <f t="shared" si="0"/>
        <v>579</v>
      </c>
      <c r="J4" s="26" t="s">
        <v>19</v>
      </c>
      <c r="K4" t="s">
        <v>115</v>
      </c>
      <c r="L4" s="5">
        <v>31884.999999999996</v>
      </c>
    </row>
    <row r="5" spans="1:12">
      <c r="A5" t="s">
        <v>19</v>
      </c>
      <c r="B5" t="s">
        <v>20</v>
      </c>
      <c r="C5" s="5">
        <v>1</v>
      </c>
      <c r="D5" s="5">
        <v>10.9</v>
      </c>
      <c r="F5" s="26" t="str">
        <f t="shared" ref="F5:F64" si="1">IF(A5="","",A5)</f>
        <v>California</v>
      </c>
      <c r="G5" s="26" t="str">
        <f t="shared" si="0"/>
        <v>Alpine County</v>
      </c>
      <c r="H5" s="26">
        <f t="shared" si="0"/>
        <v>1</v>
      </c>
      <c r="J5" s="26" t="s">
        <v>19</v>
      </c>
      <c r="K5" t="s">
        <v>20</v>
      </c>
      <c r="L5" s="5">
        <v>10.9</v>
      </c>
    </row>
    <row r="6" spans="1:12">
      <c r="A6" t="s">
        <v>19</v>
      </c>
      <c r="B6" t="s">
        <v>641</v>
      </c>
      <c r="C6" s="5">
        <v>9</v>
      </c>
      <c r="D6" s="5">
        <v>800.3</v>
      </c>
      <c r="F6" s="26" t="str">
        <f t="shared" si="1"/>
        <v>California</v>
      </c>
      <c r="G6" s="26" t="str">
        <f t="shared" si="0"/>
        <v>Amador County</v>
      </c>
      <c r="H6" s="26">
        <f t="shared" si="0"/>
        <v>9</v>
      </c>
      <c r="J6" s="26" t="s">
        <v>19</v>
      </c>
      <c r="K6" t="s">
        <v>641</v>
      </c>
      <c r="L6" s="5">
        <v>800.3</v>
      </c>
    </row>
    <row r="7" spans="1:12">
      <c r="A7" t="s">
        <v>19</v>
      </c>
      <c r="B7" t="s">
        <v>967</v>
      </c>
      <c r="C7" s="5">
        <v>35</v>
      </c>
      <c r="D7" s="5">
        <v>1062.5999999999999</v>
      </c>
      <c r="F7" s="26" t="str">
        <f t="shared" si="1"/>
        <v>California</v>
      </c>
      <c r="G7" s="26" t="str">
        <f t="shared" si="0"/>
        <v>Butte County</v>
      </c>
      <c r="H7" s="26">
        <f t="shared" si="0"/>
        <v>35</v>
      </c>
      <c r="J7" s="26" t="s">
        <v>19</v>
      </c>
      <c r="K7" t="s">
        <v>967</v>
      </c>
      <c r="L7" s="5">
        <v>1062.5999999999999</v>
      </c>
    </row>
    <row r="8" spans="1:12">
      <c r="A8" t="s">
        <v>19</v>
      </c>
      <c r="B8" t="s">
        <v>84</v>
      </c>
      <c r="C8" s="5">
        <v>12</v>
      </c>
      <c r="D8" s="5">
        <v>326.20000000000005</v>
      </c>
      <c r="F8" s="26" t="str">
        <f t="shared" si="1"/>
        <v>California</v>
      </c>
      <c r="G8" s="26" t="str">
        <f t="shared" si="0"/>
        <v>Calaveras County</v>
      </c>
      <c r="H8" s="26">
        <f t="shared" si="0"/>
        <v>12</v>
      </c>
      <c r="J8" s="26" t="s">
        <v>19</v>
      </c>
      <c r="K8" t="s">
        <v>84</v>
      </c>
      <c r="L8" s="5">
        <v>326.20000000000005</v>
      </c>
    </row>
    <row r="9" spans="1:12">
      <c r="A9" t="s">
        <v>19</v>
      </c>
      <c r="B9" t="s">
        <v>1383</v>
      </c>
      <c r="C9" s="5">
        <v>4</v>
      </c>
      <c r="D9" s="5">
        <v>167.5</v>
      </c>
      <c r="F9" s="26" t="str">
        <f t="shared" si="1"/>
        <v>California</v>
      </c>
      <c r="G9" s="26" t="str">
        <f t="shared" si="0"/>
        <v>Colusa County</v>
      </c>
      <c r="H9" s="26">
        <f t="shared" si="0"/>
        <v>4</v>
      </c>
      <c r="J9" s="26" t="s">
        <v>19</v>
      </c>
      <c r="K9" t="s">
        <v>1383</v>
      </c>
      <c r="L9" s="5">
        <v>167.5</v>
      </c>
    </row>
    <row r="10" spans="1:12">
      <c r="A10" t="s">
        <v>19</v>
      </c>
      <c r="B10" t="s">
        <v>24</v>
      </c>
      <c r="C10" s="5">
        <v>341</v>
      </c>
      <c r="D10" s="5">
        <v>16168.7</v>
      </c>
      <c r="F10" s="26" t="str">
        <f t="shared" si="1"/>
        <v>California</v>
      </c>
      <c r="G10" s="26" t="str">
        <f t="shared" si="0"/>
        <v>Contra Costa County</v>
      </c>
      <c r="H10" s="26">
        <f t="shared" si="0"/>
        <v>341</v>
      </c>
      <c r="J10" s="26" t="s">
        <v>19</v>
      </c>
      <c r="K10" t="s">
        <v>24</v>
      </c>
      <c r="L10" s="5">
        <v>16168.7</v>
      </c>
    </row>
    <row r="11" spans="1:12">
      <c r="A11" t="s">
        <v>19</v>
      </c>
      <c r="B11" t="s">
        <v>2204</v>
      </c>
      <c r="C11" s="5">
        <v>13</v>
      </c>
      <c r="D11" s="5">
        <v>322.40000000000003</v>
      </c>
      <c r="F11" s="26" t="str">
        <f t="shared" si="1"/>
        <v>California</v>
      </c>
      <c r="G11" s="26" t="str">
        <f t="shared" si="0"/>
        <v>Del Norte County</v>
      </c>
      <c r="H11" s="26">
        <f t="shared" si="0"/>
        <v>13</v>
      </c>
      <c r="J11" s="26" t="s">
        <v>19</v>
      </c>
      <c r="K11" t="s">
        <v>2204</v>
      </c>
      <c r="L11" s="5">
        <v>322.40000000000003</v>
      </c>
    </row>
    <row r="12" spans="1:12">
      <c r="A12" t="s">
        <v>19</v>
      </c>
      <c r="B12" t="s">
        <v>437</v>
      </c>
      <c r="C12" s="5">
        <v>31</v>
      </c>
      <c r="D12" s="5">
        <v>2092.8000000000002</v>
      </c>
      <c r="F12" s="26" t="str">
        <f t="shared" si="1"/>
        <v>California</v>
      </c>
      <c r="G12" s="26" t="str">
        <f t="shared" si="0"/>
        <v>El Dorado County</v>
      </c>
      <c r="H12" s="26">
        <f t="shared" si="0"/>
        <v>31</v>
      </c>
      <c r="J12" s="26" t="s">
        <v>19</v>
      </c>
      <c r="K12" t="s">
        <v>437</v>
      </c>
      <c r="L12" s="5">
        <v>2092.8000000000002</v>
      </c>
    </row>
    <row r="13" spans="1:12">
      <c r="A13" t="s">
        <v>19</v>
      </c>
      <c r="B13" t="s">
        <v>28</v>
      </c>
      <c r="C13" s="5">
        <v>279</v>
      </c>
      <c r="D13" s="5">
        <v>12662.500000000002</v>
      </c>
      <c r="F13" s="26" t="str">
        <f t="shared" si="1"/>
        <v>California</v>
      </c>
      <c r="G13" s="26" t="str">
        <f t="shared" si="0"/>
        <v>Fresno County</v>
      </c>
      <c r="H13" s="26">
        <f t="shared" si="0"/>
        <v>279</v>
      </c>
      <c r="J13" s="26" t="s">
        <v>19</v>
      </c>
      <c r="K13" t="s">
        <v>28</v>
      </c>
      <c r="L13" s="5">
        <v>12662.500000000002</v>
      </c>
    </row>
    <row r="14" spans="1:12">
      <c r="A14" t="s">
        <v>19</v>
      </c>
      <c r="B14" t="s">
        <v>208</v>
      </c>
      <c r="C14" s="5">
        <v>9</v>
      </c>
      <c r="D14" s="5">
        <v>343.2</v>
      </c>
      <c r="F14" s="26" t="str">
        <f t="shared" si="1"/>
        <v>California</v>
      </c>
      <c r="G14" s="26" t="str">
        <f t="shared" si="0"/>
        <v>Glenn County</v>
      </c>
      <c r="H14" s="26">
        <f t="shared" si="0"/>
        <v>9</v>
      </c>
      <c r="J14" s="26" t="s">
        <v>19</v>
      </c>
      <c r="K14" t="s">
        <v>208</v>
      </c>
      <c r="L14" s="5">
        <v>343.2</v>
      </c>
    </row>
    <row r="15" spans="1:12">
      <c r="A15" t="s">
        <v>19</v>
      </c>
      <c r="B15" t="s">
        <v>587</v>
      </c>
      <c r="C15" s="5">
        <v>49</v>
      </c>
      <c r="D15" s="5">
        <v>2188.2999999999997</v>
      </c>
      <c r="F15" s="26" t="str">
        <f t="shared" si="1"/>
        <v>California</v>
      </c>
      <c r="G15" s="26" t="str">
        <f t="shared" si="0"/>
        <v>Humboldt County</v>
      </c>
      <c r="H15" s="26">
        <f t="shared" si="0"/>
        <v>49</v>
      </c>
      <c r="J15" s="26" t="s">
        <v>19</v>
      </c>
      <c r="K15" t="s">
        <v>587</v>
      </c>
      <c r="L15" s="5">
        <v>2188.2999999999997</v>
      </c>
    </row>
    <row r="16" spans="1:12">
      <c r="A16" t="s">
        <v>19</v>
      </c>
      <c r="B16" t="s">
        <v>331</v>
      </c>
      <c r="C16" s="5">
        <v>59</v>
      </c>
      <c r="D16" s="5">
        <v>2661.5999999999995</v>
      </c>
      <c r="F16" s="26" t="str">
        <f t="shared" si="1"/>
        <v>California</v>
      </c>
      <c r="G16" s="26" t="str">
        <f t="shared" si="0"/>
        <v>Imperial County</v>
      </c>
      <c r="H16" s="26">
        <f t="shared" si="0"/>
        <v>59</v>
      </c>
      <c r="J16" s="26" t="s">
        <v>19</v>
      </c>
      <c r="K16" t="s">
        <v>331</v>
      </c>
      <c r="L16" s="5">
        <v>2661.5999999999995</v>
      </c>
    </row>
    <row r="17" spans="1:12">
      <c r="A17" t="s">
        <v>19</v>
      </c>
      <c r="B17" t="s">
        <v>86</v>
      </c>
      <c r="C17" s="5">
        <v>8</v>
      </c>
      <c r="D17" s="5">
        <v>887.5</v>
      </c>
      <c r="F17" s="26" t="str">
        <f t="shared" si="1"/>
        <v>California</v>
      </c>
      <c r="G17" s="26" t="str">
        <f t="shared" si="0"/>
        <v>Inyo County</v>
      </c>
      <c r="H17" s="26">
        <f t="shared" si="0"/>
        <v>8</v>
      </c>
      <c r="J17" s="26" t="s">
        <v>19</v>
      </c>
      <c r="K17" t="s">
        <v>86</v>
      </c>
      <c r="L17" s="5">
        <v>887.5</v>
      </c>
    </row>
    <row r="18" spans="1:12">
      <c r="A18" t="s">
        <v>19</v>
      </c>
      <c r="B18" t="s">
        <v>147</v>
      </c>
      <c r="C18" s="5">
        <v>222</v>
      </c>
      <c r="D18" s="5">
        <v>11354.199999999993</v>
      </c>
      <c r="F18" s="26" t="str">
        <f t="shared" si="1"/>
        <v>California</v>
      </c>
      <c r="G18" s="26" t="str">
        <f t="shared" si="0"/>
        <v>Kern County</v>
      </c>
      <c r="H18" s="26">
        <f t="shared" si="0"/>
        <v>222</v>
      </c>
      <c r="J18" s="26" t="s">
        <v>19</v>
      </c>
      <c r="K18" t="s">
        <v>147</v>
      </c>
      <c r="L18" s="5">
        <v>11354.199999999993</v>
      </c>
    </row>
    <row r="19" spans="1:12">
      <c r="A19" t="s">
        <v>19</v>
      </c>
      <c r="B19" t="s">
        <v>334</v>
      </c>
      <c r="C19" s="5">
        <v>36</v>
      </c>
      <c r="D19" s="5">
        <v>1558.4</v>
      </c>
      <c r="F19" s="26" t="str">
        <f t="shared" si="1"/>
        <v>California</v>
      </c>
      <c r="G19" s="26" t="str">
        <f t="shared" si="0"/>
        <v>Kings County</v>
      </c>
      <c r="H19" s="26">
        <f t="shared" si="0"/>
        <v>36</v>
      </c>
      <c r="J19" s="26" t="s">
        <v>19</v>
      </c>
      <c r="K19" t="s">
        <v>334</v>
      </c>
      <c r="L19" s="5">
        <v>1558.4</v>
      </c>
    </row>
    <row r="20" spans="1:12">
      <c r="A20" t="s">
        <v>19</v>
      </c>
      <c r="B20" t="s">
        <v>949</v>
      </c>
      <c r="C20" s="5">
        <v>30</v>
      </c>
      <c r="D20" s="5">
        <v>2223.9</v>
      </c>
      <c r="F20" s="26" t="str">
        <f t="shared" si="1"/>
        <v>California</v>
      </c>
      <c r="G20" s="26" t="str">
        <f t="shared" ref="G20:G64" si="2">IF(B20="","",B20)</f>
        <v>Lake County</v>
      </c>
      <c r="H20" s="26">
        <f t="shared" ref="H20:H64" si="3">IF(C20="","",C20)</f>
        <v>30</v>
      </c>
      <c r="J20" s="26" t="s">
        <v>19</v>
      </c>
      <c r="K20" t="s">
        <v>949</v>
      </c>
      <c r="L20" s="5">
        <v>2223.9</v>
      </c>
    </row>
    <row r="21" spans="1:12">
      <c r="A21" t="s">
        <v>19</v>
      </c>
      <c r="B21" t="s">
        <v>1426</v>
      </c>
      <c r="C21" s="5">
        <v>1</v>
      </c>
      <c r="D21" s="5">
        <v>26.2</v>
      </c>
      <c r="F21" s="26" t="str">
        <f t="shared" si="1"/>
        <v>California</v>
      </c>
      <c r="G21" s="26" t="str">
        <f t="shared" si="2"/>
        <v>Lassen County</v>
      </c>
      <c r="H21" s="26">
        <f t="shared" si="3"/>
        <v>1</v>
      </c>
      <c r="J21" s="26" t="s">
        <v>19</v>
      </c>
      <c r="K21" t="s">
        <v>1426</v>
      </c>
      <c r="L21" s="5">
        <v>26.2</v>
      </c>
    </row>
    <row r="22" spans="1:12">
      <c r="A22" t="s">
        <v>19</v>
      </c>
      <c r="B22" t="s">
        <v>33</v>
      </c>
      <c r="C22" s="5">
        <v>3991</v>
      </c>
      <c r="D22" s="5">
        <v>215551.19999999981</v>
      </c>
      <c r="F22" s="26" t="str">
        <f t="shared" si="1"/>
        <v>California</v>
      </c>
      <c r="G22" s="26" t="str">
        <f t="shared" si="2"/>
        <v>Los Angeles County</v>
      </c>
      <c r="H22" s="26">
        <f t="shared" si="3"/>
        <v>3991</v>
      </c>
      <c r="J22" s="26" t="s">
        <v>19</v>
      </c>
      <c r="K22" t="s">
        <v>33</v>
      </c>
      <c r="L22" s="5">
        <v>215551.19999999981</v>
      </c>
    </row>
    <row r="23" spans="1:12">
      <c r="A23" t="s">
        <v>19</v>
      </c>
      <c r="B23" t="s">
        <v>364</v>
      </c>
      <c r="C23" s="5">
        <v>45</v>
      </c>
      <c r="D23" s="5">
        <v>2687.3999999999996</v>
      </c>
      <c r="F23" s="26" t="str">
        <f t="shared" si="1"/>
        <v>California</v>
      </c>
      <c r="G23" s="26" t="str">
        <f t="shared" si="2"/>
        <v>Madera County</v>
      </c>
      <c r="H23" s="26">
        <f t="shared" si="3"/>
        <v>45</v>
      </c>
      <c r="J23" s="26" t="s">
        <v>19</v>
      </c>
      <c r="K23" t="s">
        <v>364</v>
      </c>
      <c r="L23" s="5">
        <v>2687.3999999999996</v>
      </c>
    </row>
    <row r="24" spans="1:12">
      <c r="A24" t="s">
        <v>19</v>
      </c>
      <c r="B24" t="s">
        <v>545</v>
      </c>
      <c r="C24" s="5">
        <v>39</v>
      </c>
      <c r="D24" s="5">
        <v>1463.3000000000002</v>
      </c>
      <c r="F24" s="26" t="str">
        <f t="shared" si="1"/>
        <v>California</v>
      </c>
      <c r="G24" s="26" t="str">
        <f t="shared" si="2"/>
        <v>Marin County</v>
      </c>
      <c r="H24" s="26">
        <f t="shared" si="3"/>
        <v>39</v>
      </c>
      <c r="J24" s="26" t="s">
        <v>19</v>
      </c>
      <c r="K24" t="s">
        <v>545</v>
      </c>
      <c r="L24" s="5">
        <v>1463.3000000000002</v>
      </c>
    </row>
    <row r="25" spans="1:12">
      <c r="A25" t="s">
        <v>19</v>
      </c>
      <c r="B25" t="s">
        <v>416</v>
      </c>
      <c r="C25" s="5">
        <v>6</v>
      </c>
      <c r="D25" s="5">
        <v>445.79999999999995</v>
      </c>
      <c r="F25" s="26" t="str">
        <f t="shared" si="1"/>
        <v>California</v>
      </c>
      <c r="G25" s="26" t="str">
        <f t="shared" si="2"/>
        <v>Mariposa County</v>
      </c>
      <c r="H25" s="26">
        <f t="shared" si="3"/>
        <v>6</v>
      </c>
      <c r="J25" s="26" t="s">
        <v>19</v>
      </c>
      <c r="K25" t="s">
        <v>416</v>
      </c>
      <c r="L25" s="5">
        <v>445.79999999999995</v>
      </c>
    </row>
    <row r="26" spans="1:12">
      <c r="A26" t="s">
        <v>19</v>
      </c>
      <c r="B26" t="s">
        <v>258</v>
      </c>
      <c r="C26" s="5">
        <v>9</v>
      </c>
      <c r="D26" s="5">
        <v>273.59999999999997</v>
      </c>
      <c r="F26" s="26" t="str">
        <f t="shared" si="1"/>
        <v>California</v>
      </c>
      <c r="G26" s="26" t="str">
        <f t="shared" si="2"/>
        <v>Mendocino County</v>
      </c>
      <c r="H26" s="26">
        <f t="shared" si="3"/>
        <v>9</v>
      </c>
      <c r="J26" s="26" t="s">
        <v>19</v>
      </c>
      <c r="K26" t="s">
        <v>258</v>
      </c>
      <c r="L26" s="5">
        <v>273.59999999999997</v>
      </c>
    </row>
    <row r="27" spans="1:12">
      <c r="A27" t="s">
        <v>19</v>
      </c>
      <c r="B27" t="s">
        <v>186</v>
      </c>
      <c r="C27" s="5">
        <v>60</v>
      </c>
      <c r="D27" s="5">
        <v>2690.4</v>
      </c>
      <c r="F27" s="26" t="str">
        <f t="shared" si="1"/>
        <v>California</v>
      </c>
      <c r="G27" s="26" t="str">
        <f t="shared" si="2"/>
        <v>Merced County</v>
      </c>
      <c r="H27" s="26">
        <f t="shared" si="3"/>
        <v>60</v>
      </c>
      <c r="J27" s="26" t="s">
        <v>19</v>
      </c>
      <c r="K27" t="s">
        <v>186</v>
      </c>
      <c r="L27" s="5">
        <v>2690.4</v>
      </c>
    </row>
    <row r="28" spans="1:12">
      <c r="A28" t="s">
        <v>19</v>
      </c>
      <c r="B28" t="s">
        <v>392</v>
      </c>
      <c r="C28" s="5">
        <v>2</v>
      </c>
      <c r="D28" s="5">
        <v>28.4</v>
      </c>
      <c r="F28" s="26" t="str">
        <f t="shared" si="1"/>
        <v>California</v>
      </c>
      <c r="G28" s="26" t="str">
        <f t="shared" si="2"/>
        <v>Modoc County</v>
      </c>
      <c r="H28" s="26">
        <f t="shared" si="3"/>
        <v>2</v>
      </c>
      <c r="J28" s="26" t="s">
        <v>19</v>
      </c>
      <c r="K28" t="s">
        <v>392</v>
      </c>
      <c r="L28" s="5">
        <v>28.4</v>
      </c>
    </row>
    <row r="29" spans="1:12">
      <c r="A29" t="s">
        <v>19</v>
      </c>
      <c r="B29" t="s">
        <v>670</v>
      </c>
      <c r="C29" s="5">
        <v>4</v>
      </c>
      <c r="D29" s="5">
        <v>204.8</v>
      </c>
      <c r="F29" s="26" t="str">
        <f t="shared" si="1"/>
        <v>California</v>
      </c>
      <c r="G29" s="26" t="str">
        <f t="shared" si="2"/>
        <v>Mono County</v>
      </c>
      <c r="H29" s="26">
        <f t="shared" si="3"/>
        <v>4</v>
      </c>
      <c r="J29" s="26" t="s">
        <v>19</v>
      </c>
      <c r="K29" t="s">
        <v>670</v>
      </c>
      <c r="L29" s="5">
        <v>204.8</v>
      </c>
    </row>
    <row r="30" spans="1:12">
      <c r="A30" t="s">
        <v>19</v>
      </c>
      <c r="B30" t="s">
        <v>802</v>
      </c>
      <c r="C30" s="5">
        <v>31</v>
      </c>
      <c r="D30" s="5">
        <v>1607.8999999999999</v>
      </c>
      <c r="F30" s="26" t="str">
        <f t="shared" si="1"/>
        <v>California</v>
      </c>
      <c r="G30" s="26" t="str">
        <f t="shared" si="2"/>
        <v>Monterey County</v>
      </c>
      <c r="H30" s="26">
        <f t="shared" si="3"/>
        <v>31</v>
      </c>
      <c r="J30" s="26" t="s">
        <v>19</v>
      </c>
      <c r="K30" t="s">
        <v>802</v>
      </c>
      <c r="L30" s="5">
        <v>1607.8999999999999</v>
      </c>
    </row>
    <row r="31" spans="1:12">
      <c r="A31" t="s">
        <v>19</v>
      </c>
      <c r="B31" t="s">
        <v>98</v>
      </c>
      <c r="C31" s="5">
        <v>88</v>
      </c>
      <c r="D31" s="5">
        <v>6444.9</v>
      </c>
      <c r="F31" s="26" t="str">
        <f t="shared" si="1"/>
        <v>California</v>
      </c>
      <c r="G31" s="26" t="str">
        <f t="shared" si="2"/>
        <v>Napa County</v>
      </c>
      <c r="H31" s="26">
        <f t="shared" si="3"/>
        <v>88</v>
      </c>
      <c r="J31" s="26" t="s">
        <v>19</v>
      </c>
      <c r="K31" t="s">
        <v>98</v>
      </c>
      <c r="L31" s="5">
        <v>6444.9</v>
      </c>
    </row>
    <row r="32" spans="1:12">
      <c r="A32" t="s">
        <v>19</v>
      </c>
      <c r="B32" t="s">
        <v>49</v>
      </c>
      <c r="C32" s="5">
        <v>25</v>
      </c>
      <c r="D32" s="5">
        <v>1809.3</v>
      </c>
      <c r="F32" s="26" t="str">
        <f t="shared" si="1"/>
        <v>California</v>
      </c>
      <c r="G32" s="26" t="str">
        <f t="shared" si="2"/>
        <v>Nevada County</v>
      </c>
      <c r="H32" s="26">
        <f t="shared" si="3"/>
        <v>25</v>
      </c>
      <c r="J32" s="26" t="s">
        <v>19</v>
      </c>
      <c r="K32" t="s">
        <v>49</v>
      </c>
      <c r="L32" s="5">
        <v>1809.3</v>
      </c>
    </row>
    <row r="33" spans="1:12">
      <c r="A33" t="s">
        <v>19</v>
      </c>
      <c r="B33" t="s">
        <v>188</v>
      </c>
      <c r="C33" s="5">
        <v>178</v>
      </c>
      <c r="D33" s="5">
        <v>9680.399999999996</v>
      </c>
      <c r="F33" s="26" t="str">
        <f t="shared" si="1"/>
        <v>California</v>
      </c>
      <c r="G33" s="26" t="str">
        <f t="shared" si="2"/>
        <v>Orange County</v>
      </c>
      <c r="H33" s="26">
        <f t="shared" si="3"/>
        <v>178</v>
      </c>
      <c r="J33" s="26" t="s">
        <v>19</v>
      </c>
      <c r="K33" t="s">
        <v>188</v>
      </c>
      <c r="L33" s="5">
        <v>9680.399999999996</v>
      </c>
    </row>
    <row r="34" spans="1:12">
      <c r="A34" t="s">
        <v>19</v>
      </c>
      <c r="B34" t="s">
        <v>52</v>
      </c>
      <c r="C34" s="5">
        <v>141</v>
      </c>
      <c r="D34" s="5">
        <v>9414.7999999999993</v>
      </c>
      <c r="F34" s="26" t="str">
        <f t="shared" si="1"/>
        <v>California</v>
      </c>
      <c r="G34" s="26" t="str">
        <f t="shared" si="2"/>
        <v>Placer County</v>
      </c>
      <c r="H34" s="26">
        <f t="shared" si="3"/>
        <v>141</v>
      </c>
      <c r="J34" s="26" t="s">
        <v>19</v>
      </c>
      <c r="K34" t="s">
        <v>52</v>
      </c>
      <c r="L34" s="5">
        <v>9414.7999999999993</v>
      </c>
    </row>
    <row r="35" spans="1:12">
      <c r="A35" t="s">
        <v>19</v>
      </c>
      <c r="B35" t="s">
        <v>338</v>
      </c>
      <c r="C35" s="5">
        <v>6</v>
      </c>
      <c r="D35" s="5">
        <v>206.1</v>
      </c>
      <c r="F35" s="26" t="str">
        <f t="shared" si="1"/>
        <v>California</v>
      </c>
      <c r="G35" s="26" t="str">
        <f t="shared" si="2"/>
        <v>Plumas County</v>
      </c>
      <c r="H35" s="26">
        <f t="shared" si="3"/>
        <v>6</v>
      </c>
      <c r="J35" s="26" t="s">
        <v>19</v>
      </c>
      <c r="K35" t="s">
        <v>338</v>
      </c>
      <c r="L35" s="5">
        <v>206.1</v>
      </c>
    </row>
    <row r="36" spans="1:12">
      <c r="A36" t="s">
        <v>19</v>
      </c>
      <c r="B36" t="s">
        <v>158</v>
      </c>
      <c r="C36" s="5">
        <v>178</v>
      </c>
      <c r="D36" s="5">
        <v>7691.3</v>
      </c>
      <c r="F36" s="26" t="str">
        <f t="shared" si="1"/>
        <v>California</v>
      </c>
      <c r="G36" s="26" t="str">
        <f t="shared" si="2"/>
        <v>Riverside County</v>
      </c>
      <c r="H36" s="26">
        <f t="shared" si="3"/>
        <v>178</v>
      </c>
      <c r="J36" s="26" t="s">
        <v>19</v>
      </c>
      <c r="K36" t="s">
        <v>158</v>
      </c>
      <c r="L36" s="5">
        <v>7691.3</v>
      </c>
    </row>
    <row r="37" spans="1:12">
      <c r="A37" t="s">
        <v>19</v>
      </c>
      <c r="B37" t="s">
        <v>55</v>
      </c>
      <c r="C37" s="5">
        <v>699</v>
      </c>
      <c r="D37" s="5">
        <v>37784.900000000016</v>
      </c>
      <c r="F37" s="26" t="str">
        <f t="shared" si="1"/>
        <v>California</v>
      </c>
      <c r="G37" s="26" t="str">
        <f t="shared" si="2"/>
        <v>Sacramento County</v>
      </c>
      <c r="H37" s="26">
        <f t="shared" si="3"/>
        <v>699</v>
      </c>
      <c r="J37" s="26" t="s">
        <v>19</v>
      </c>
      <c r="K37" t="s">
        <v>55</v>
      </c>
      <c r="L37" s="5">
        <v>37784.900000000016</v>
      </c>
    </row>
    <row r="38" spans="1:12">
      <c r="A38" t="s">
        <v>19</v>
      </c>
      <c r="B38" t="s">
        <v>342</v>
      </c>
      <c r="C38" s="5">
        <v>23</v>
      </c>
      <c r="D38" s="5">
        <v>1129.7</v>
      </c>
      <c r="F38" s="26" t="str">
        <f t="shared" si="1"/>
        <v>California</v>
      </c>
      <c r="G38" s="26" t="str">
        <f t="shared" si="2"/>
        <v>San Benito County</v>
      </c>
      <c r="H38" s="26">
        <f t="shared" si="3"/>
        <v>23</v>
      </c>
      <c r="J38" s="26" t="s">
        <v>19</v>
      </c>
      <c r="K38" t="s">
        <v>342</v>
      </c>
      <c r="L38" s="5">
        <v>1129.7</v>
      </c>
    </row>
    <row r="39" spans="1:12">
      <c r="A39" t="s">
        <v>19</v>
      </c>
      <c r="B39" t="s">
        <v>59</v>
      </c>
      <c r="C39" s="5">
        <v>356</v>
      </c>
      <c r="D39" s="5">
        <v>20988.9</v>
      </c>
      <c r="F39" s="26" t="str">
        <f t="shared" si="1"/>
        <v>California</v>
      </c>
      <c r="G39" s="26" t="str">
        <f t="shared" si="2"/>
        <v>San Bernardino County</v>
      </c>
      <c r="H39" s="26">
        <f t="shared" si="3"/>
        <v>356</v>
      </c>
      <c r="J39" s="26" t="s">
        <v>19</v>
      </c>
      <c r="K39" t="s">
        <v>59</v>
      </c>
      <c r="L39" s="5">
        <v>20988.9</v>
      </c>
    </row>
    <row r="40" spans="1:12">
      <c r="A40" t="s">
        <v>19</v>
      </c>
      <c r="B40" t="s">
        <v>62</v>
      </c>
      <c r="C40" s="5">
        <v>1768</v>
      </c>
      <c r="D40" s="5">
        <v>98367.099999999977</v>
      </c>
      <c r="F40" s="26" t="str">
        <f t="shared" si="1"/>
        <v>California</v>
      </c>
      <c r="G40" s="26" t="str">
        <f t="shared" si="2"/>
        <v>San Diego County</v>
      </c>
      <c r="H40" s="26">
        <f t="shared" si="3"/>
        <v>1768</v>
      </c>
      <c r="J40" s="26" t="s">
        <v>19</v>
      </c>
      <c r="K40" t="s">
        <v>62</v>
      </c>
      <c r="L40" s="5">
        <v>98367.099999999977</v>
      </c>
    </row>
    <row r="41" spans="1:12">
      <c r="A41" t="s">
        <v>19</v>
      </c>
      <c r="B41" t="s">
        <v>103</v>
      </c>
      <c r="C41" s="5">
        <v>307</v>
      </c>
      <c r="D41" s="5">
        <v>21911.9</v>
      </c>
      <c r="F41" s="26" t="str">
        <f t="shared" si="1"/>
        <v>California</v>
      </c>
      <c r="G41" s="26" t="str">
        <f t="shared" si="2"/>
        <v>San Francisco</v>
      </c>
      <c r="H41" s="26">
        <f t="shared" si="3"/>
        <v>307</v>
      </c>
      <c r="J41" s="26" t="s">
        <v>19</v>
      </c>
      <c r="K41" t="s">
        <v>103</v>
      </c>
      <c r="L41" s="5">
        <v>21911.9</v>
      </c>
    </row>
    <row r="42" spans="1:12">
      <c r="A42" t="s">
        <v>19</v>
      </c>
      <c r="B42" t="s">
        <v>201</v>
      </c>
      <c r="C42" s="5">
        <v>117</v>
      </c>
      <c r="D42" s="5">
        <v>5441.2</v>
      </c>
      <c r="F42" s="26" t="str">
        <f t="shared" si="1"/>
        <v>California</v>
      </c>
      <c r="G42" s="26" t="str">
        <f t="shared" si="2"/>
        <v>San Joaquin County</v>
      </c>
      <c r="H42" s="26">
        <f t="shared" si="3"/>
        <v>117</v>
      </c>
      <c r="J42" s="26" t="s">
        <v>19</v>
      </c>
      <c r="K42" t="s">
        <v>201</v>
      </c>
      <c r="L42" s="5">
        <v>5441.2</v>
      </c>
    </row>
    <row r="43" spans="1:12">
      <c r="A43" t="s">
        <v>19</v>
      </c>
      <c r="B43" t="s">
        <v>429</v>
      </c>
      <c r="C43" s="5">
        <v>13</v>
      </c>
      <c r="D43" s="5">
        <v>392.8</v>
      </c>
      <c r="F43" s="26" t="str">
        <f t="shared" si="1"/>
        <v>California</v>
      </c>
      <c r="G43" s="26" t="str">
        <f t="shared" si="2"/>
        <v>San Luis Obispo County</v>
      </c>
      <c r="H43" s="26">
        <f t="shared" si="3"/>
        <v>13</v>
      </c>
      <c r="J43" s="26" t="s">
        <v>19</v>
      </c>
      <c r="K43" t="s">
        <v>429</v>
      </c>
      <c r="L43" s="5">
        <v>392.8</v>
      </c>
    </row>
    <row r="44" spans="1:12">
      <c r="A44" t="s">
        <v>19</v>
      </c>
      <c r="B44" t="s">
        <v>72</v>
      </c>
      <c r="C44" s="5">
        <v>364</v>
      </c>
      <c r="D44" s="5">
        <v>16172.000000000005</v>
      </c>
      <c r="F44" s="26" t="str">
        <f t="shared" si="1"/>
        <v>California</v>
      </c>
      <c r="G44" s="26" t="str">
        <f t="shared" si="2"/>
        <v>San Mateo County</v>
      </c>
      <c r="H44" s="26">
        <f t="shared" si="3"/>
        <v>364</v>
      </c>
      <c r="J44" s="26" t="s">
        <v>19</v>
      </c>
      <c r="K44" t="s">
        <v>72</v>
      </c>
      <c r="L44" s="5">
        <v>16172.000000000005</v>
      </c>
    </row>
    <row r="45" spans="1:12">
      <c r="A45" t="s">
        <v>19</v>
      </c>
      <c r="B45" t="s">
        <v>74</v>
      </c>
      <c r="C45" s="5">
        <v>95</v>
      </c>
      <c r="D45" s="5">
        <v>4334.9999999999991</v>
      </c>
      <c r="F45" s="26" t="str">
        <f t="shared" si="1"/>
        <v>California</v>
      </c>
      <c r="G45" s="26" t="str">
        <f t="shared" si="2"/>
        <v>Santa Barbara County</v>
      </c>
      <c r="H45" s="26">
        <f t="shared" si="3"/>
        <v>95</v>
      </c>
      <c r="J45" s="26" t="s">
        <v>19</v>
      </c>
      <c r="K45" t="s">
        <v>74</v>
      </c>
      <c r="L45" s="5">
        <v>4334.9999999999991</v>
      </c>
    </row>
    <row r="46" spans="1:12">
      <c r="A46" t="s">
        <v>19</v>
      </c>
      <c r="B46" t="s">
        <v>77</v>
      </c>
      <c r="C46" s="5">
        <v>737</v>
      </c>
      <c r="D46" s="5">
        <v>37449.000000000007</v>
      </c>
      <c r="F46" s="26" t="str">
        <f t="shared" si="1"/>
        <v>California</v>
      </c>
      <c r="G46" s="26" t="str">
        <f t="shared" si="2"/>
        <v>Santa Clara County</v>
      </c>
      <c r="H46" s="26">
        <f t="shared" si="3"/>
        <v>737</v>
      </c>
      <c r="J46" s="26" t="s">
        <v>19</v>
      </c>
      <c r="K46" t="s">
        <v>77</v>
      </c>
      <c r="L46" s="5">
        <v>37449.000000000007</v>
      </c>
    </row>
    <row r="47" spans="1:12">
      <c r="A47" t="s">
        <v>19</v>
      </c>
      <c r="B47" t="s">
        <v>309</v>
      </c>
      <c r="C47" s="5">
        <v>39</v>
      </c>
      <c r="D47" s="5">
        <v>2447.5</v>
      </c>
      <c r="F47" s="26" t="str">
        <f t="shared" si="1"/>
        <v>California</v>
      </c>
      <c r="G47" s="26" t="str">
        <f t="shared" si="2"/>
        <v>Santa Cruz County</v>
      </c>
      <c r="H47" s="26">
        <f t="shared" si="3"/>
        <v>39</v>
      </c>
      <c r="J47" s="26" t="s">
        <v>19</v>
      </c>
      <c r="K47" t="s">
        <v>309</v>
      </c>
      <c r="L47" s="5">
        <v>2447.5</v>
      </c>
    </row>
    <row r="48" spans="1:12">
      <c r="A48" t="s">
        <v>19</v>
      </c>
      <c r="B48" t="s">
        <v>1116</v>
      </c>
      <c r="C48" s="5">
        <v>56</v>
      </c>
      <c r="D48" s="5">
        <v>3391.1</v>
      </c>
      <c r="F48" s="26" t="str">
        <f t="shared" si="1"/>
        <v>California</v>
      </c>
      <c r="G48" s="26" t="str">
        <f t="shared" si="2"/>
        <v>Shasta County</v>
      </c>
      <c r="H48" s="26">
        <f t="shared" si="3"/>
        <v>56</v>
      </c>
      <c r="J48" s="26" t="s">
        <v>19</v>
      </c>
      <c r="K48" t="s">
        <v>1116</v>
      </c>
      <c r="L48" s="5">
        <v>3391.1</v>
      </c>
    </row>
    <row r="49" spans="1:12">
      <c r="A49" t="s">
        <v>19</v>
      </c>
      <c r="B49" t="s">
        <v>700</v>
      </c>
      <c r="C49" s="5">
        <v>2</v>
      </c>
      <c r="D49" s="5">
        <v>30.8</v>
      </c>
      <c r="F49" s="26" t="str">
        <f t="shared" si="1"/>
        <v>California</v>
      </c>
      <c r="G49" s="26" t="str">
        <f t="shared" si="2"/>
        <v>Sierra County</v>
      </c>
      <c r="H49" s="26">
        <f t="shared" si="3"/>
        <v>2</v>
      </c>
      <c r="J49" s="26" t="s">
        <v>19</v>
      </c>
      <c r="K49" t="s">
        <v>700</v>
      </c>
      <c r="L49" s="5">
        <v>30.8</v>
      </c>
    </row>
    <row r="50" spans="1:12">
      <c r="A50" t="s">
        <v>19</v>
      </c>
      <c r="B50" t="s">
        <v>268</v>
      </c>
      <c r="C50" s="5">
        <v>8</v>
      </c>
      <c r="D50" s="5">
        <v>332.3</v>
      </c>
      <c r="F50" s="26" t="str">
        <f t="shared" si="1"/>
        <v>California</v>
      </c>
      <c r="G50" s="26" t="str">
        <f t="shared" si="2"/>
        <v>Siskiyou County</v>
      </c>
      <c r="H50" s="26">
        <f t="shared" si="3"/>
        <v>8</v>
      </c>
      <c r="J50" s="26" t="s">
        <v>19</v>
      </c>
      <c r="K50" t="s">
        <v>268</v>
      </c>
      <c r="L50" s="5">
        <v>332.3</v>
      </c>
    </row>
    <row r="51" spans="1:12">
      <c r="A51" t="s">
        <v>19</v>
      </c>
      <c r="B51" t="s">
        <v>377</v>
      </c>
      <c r="C51" s="5">
        <v>52</v>
      </c>
      <c r="D51" s="5">
        <v>3175.9999999999995</v>
      </c>
      <c r="F51" s="26" t="str">
        <f t="shared" si="1"/>
        <v>California</v>
      </c>
      <c r="G51" s="26" t="str">
        <f t="shared" si="2"/>
        <v>Solano County</v>
      </c>
      <c r="H51" s="26">
        <f t="shared" si="3"/>
        <v>52</v>
      </c>
      <c r="J51" s="26" t="s">
        <v>19</v>
      </c>
      <c r="K51" t="s">
        <v>377</v>
      </c>
      <c r="L51" s="5">
        <v>3175.9999999999995</v>
      </c>
    </row>
    <row r="52" spans="1:12">
      <c r="A52" t="s">
        <v>19</v>
      </c>
      <c r="B52" t="s">
        <v>108</v>
      </c>
      <c r="C52" s="5">
        <v>295</v>
      </c>
      <c r="D52" s="5">
        <v>20939.600000000002</v>
      </c>
      <c r="F52" s="26" t="str">
        <f t="shared" si="1"/>
        <v>California</v>
      </c>
      <c r="G52" s="26" t="str">
        <f t="shared" si="2"/>
        <v>Sonoma County</v>
      </c>
      <c r="H52" s="26">
        <f t="shared" si="3"/>
        <v>295</v>
      </c>
      <c r="J52" s="26" t="s">
        <v>19</v>
      </c>
      <c r="K52" t="s">
        <v>108</v>
      </c>
      <c r="L52" s="5">
        <v>20939.600000000002</v>
      </c>
    </row>
    <row r="53" spans="1:12">
      <c r="A53" t="s">
        <v>19</v>
      </c>
      <c r="B53" t="s">
        <v>110</v>
      </c>
      <c r="C53" s="5">
        <v>195</v>
      </c>
      <c r="D53" s="5">
        <v>10185.899999999996</v>
      </c>
      <c r="F53" s="26" t="str">
        <f t="shared" si="1"/>
        <v>California</v>
      </c>
      <c r="G53" s="26" t="str">
        <f t="shared" si="2"/>
        <v>Stanislaus County</v>
      </c>
      <c r="H53" s="26">
        <f t="shared" si="3"/>
        <v>195</v>
      </c>
      <c r="J53" s="26" t="s">
        <v>19</v>
      </c>
      <c r="K53" t="s">
        <v>110</v>
      </c>
      <c r="L53" s="5">
        <v>10185.899999999996</v>
      </c>
    </row>
    <row r="54" spans="1:12">
      <c r="A54" t="s">
        <v>19</v>
      </c>
      <c r="B54" t="s">
        <v>292</v>
      </c>
      <c r="C54" s="5">
        <v>20</v>
      </c>
      <c r="D54" s="5">
        <v>958.7</v>
      </c>
      <c r="F54" s="26" t="str">
        <f t="shared" si="1"/>
        <v>California</v>
      </c>
      <c r="G54" s="26" t="str">
        <f t="shared" si="2"/>
        <v>Sutter County</v>
      </c>
      <c r="H54" s="26">
        <f t="shared" si="3"/>
        <v>20</v>
      </c>
      <c r="J54" s="26" t="s">
        <v>19</v>
      </c>
      <c r="K54" t="s">
        <v>292</v>
      </c>
      <c r="L54" s="5">
        <v>958.7</v>
      </c>
    </row>
    <row r="55" spans="1:12">
      <c r="A55" t="s">
        <v>19</v>
      </c>
      <c r="B55" t="s">
        <v>79</v>
      </c>
      <c r="C55" s="5">
        <v>6</v>
      </c>
      <c r="D55" s="5">
        <v>323</v>
      </c>
      <c r="F55" s="26" t="str">
        <f t="shared" si="1"/>
        <v>California</v>
      </c>
      <c r="G55" s="26" t="str">
        <f t="shared" si="2"/>
        <v>Tehama County</v>
      </c>
      <c r="H55" s="26">
        <f t="shared" si="3"/>
        <v>6</v>
      </c>
      <c r="J55" s="26" t="s">
        <v>19</v>
      </c>
      <c r="K55" t="s">
        <v>79</v>
      </c>
      <c r="L55" s="5">
        <v>323</v>
      </c>
    </row>
    <row r="56" spans="1:12">
      <c r="A56" t="s">
        <v>19</v>
      </c>
      <c r="B56" t="s">
        <v>608</v>
      </c>
      <c r="C56" s="5">
        <v>5</v>
      </c>
      <c r="D56" s="5">
        <v>167.70000000000002</v>
      </c>
      <c r="F56" s="26" t="str">
        <f t="shared" si="1"/>
        <v>California</v>
      </c>
      <c r="G56" s="26" t="str">
        <f t="shared" si="2"/>
        <v>Trinity County</v>
      </c>
      <c r="H56" s="26">
        <f t="shared" si="3"/>
        <v>5</v>
      </c>
      <c r="J56" s="26" t="s">
        <v>19</v>
      </c>
      <c r="K56" t="s">
        <v>608</v>
      </c>
      <c r="L56" s="5">
        <v>167.70000000000002</v>
      </c>
    </row>
    <row r="57" spans="1:12">
      <c r="A57" t="s">
        <v>19</v>
      </c>
      <c r="B57" t="s">
        <v>113</v>
      </c>
      <c r="C57" s="5">
        <v>94</v>
      </c>
      <c r="D57" s="5">
        <v>3978.5</v>
      </c>
      <c r="F57" s="26" t="str">
        <f t="shared" si="1"/>
        <v>California</v>
      </c>
      <c r="G57" s="26" t="str">
        <f t="shared" si="2"/>
        <v>Tulare County</v>
      </c>
      <c r="H57" s="26">
        <f t="shared" si="3"/>
        <v>94</v>
      </c>
      <c r="J57" s="26" t="s">
        <v>19</v>
      </c>
      <c r="K57" t="s">
        <v>113</v>
      </c>
      <c r="L57" s="5">
        <v>3978.5</v>
      </c>
    </row>
    <row r="58" spans="1:12">
      <c r="A58" t="s">
        <v>19</v>
      </c>
      <c r="B58" t="s">
        <v>997</v>
      </c>
      <c r="C58" s="5">
        <v>28</v>
      </c>
      <c r="D58" s="5">
        <v>1405</v>
      </c>
      <c r="F58" s="26" t="str">
        <f t="shared" si="1"/>
        <v>California</v>
      </c>
      <c r="G58" s="26" t="str">
        <f t="shared" si="2"/>
        <v>Tuolumne County</v>
      </c>
      <c r="H58" s="26">
        <f t="shared" si="3"/>
        <v>28</v>
      </c>
      <c r="J58" s="26" t="s">
        <v>19</v>
      </c>
      <c r="K58" t="s">
        <v>997</v>
      </c>
      <c r="L58" s="5">
        <v>1405</v>
      </c>
    </row>
    <row r="59" spans="1:12">
      <c r="A59" t="s">
        <v>19</v>
      </c>
      <c r="B59" t="s">
        <v>82</v>
      </c>
      <c r="C59" s="5">
        <v>179</v>
      </c>
      <c r="D59" s="5">
        <v>9869.0999999999985</v>
      </c>
      <c r="F59" s="26" t="str">
        <f t="shared" si="1"/>
        <v>California</v>
      </c>
      <c r="G59" s="26" t="str">
        <f t="shared" si="2"/>
        <v>Ventura County</v>
      </c>
      <c r="H59" s="26">
        <f t="shared" si="3"/>
        <v>179</v>
      </c>
      <c r="J59" s="26" t="s">
        <v>19</v>
      </c>
      <c r="K59" t="s">
        <v>82</v>
      </c>
      <c r="L59" s="5">
        <v>9869.0999999999985</v>
      </c>
    </row>
    <row r="60" spans="1:12">
      <c r="A60" t="s">
        <v>19</v>
      </c>
      <c r="B60" t="s">
        <v>243</v>
      </c>
      <c r="C60" s="5">
        <v>15</v>
      </c>
      <c r="D60" s="5">
        <v>615.29999999999995</v>
      </c>
      <c r="F60" s="26" t="str">
        <f t="shared" si="1"/>
        <v>California</v>
      </c>
      <c r="G60" s="26" t="str">
        <f t="shared" si="2"/>
        <v>Yolo County</v>
      </c>
      <c r="H60" s="26">
        <f t="shared" si="3"/>
        <v>15</v>
      </c>
      <c r="J60" s="26" t="s">
        <v>19</v>
      </c>
      <c r="K60" t="s">
        <v>243</v>
      </c>
      <c r="L60" s="5">
        <v>615.29999999999995</v>
      </c>
    </row>
    <row r="61" spans="1:12">
      <c r="A61" t="s">
        <v>19</v>
      </c>
      <c r="B61" t="s">
        <v>1911</v>
      </c>
      <c r="C61" s="5">
        <v>3</v>
      </c>
      <c r="D61" s="5">
        <v>285</v>
      </c>
      <c r="F61" s="26" t="str">
        <f t="shared" si="1"/>
        <v>California</v>
      </c>
      <c r="G61" s="26" t="str">
        <f t="shared" si="2"/>
        <v>Yuba County</v>
      </c>
      <c r="H61" s="26">
        <f t="shared" si="3"/>
        <v>3</v>
      </c>
      <c r="J61" s="27" t="s">
        <v>19</v>
      </c>
      <c r="K61" t="s">
        <v>1911</v>
      </c>
      <c r="L61" s="5">
        <v>285</v>
      </c>
    </row>
    <row r="62" spans="1:12">
      <c r="A62" t="s">
        <v>2538</v>
      </c>
      <c r="C62" s="5">
        <v>11997</v>
      </c>
      <c r="D62" s="5">
        <v>649019.79999999981</v>
      </c>
      <c r="F62" s="26" t="str">
        <f t="shared" si="1"/>
        <v>California Total</v>
      </c>
      <c r="G62" s="26" t="str">
        <f t="shared" si="2"/>
        <v/>
      </c>
      <c r="H62" s="26">
        <f t="shared" si="3"/>
        <v>11997</v>
      </c>
      <c r="J62" s="28" t="s">
        <v>2538</v>
      </c>
      <c r="K62" s="28"/>
      <c r="L62" s="30">
        <v>649019.79999999981</v>
      </c>
    </row>
    <row r="63" spans="1:12">
      <c r="A63" t="s">
        <v>2529</v>
      </c>
      <c r="C63" s="5">
        <v>11997</v>
      </c>
      <c r="D63" s="5">
        <v>649019.79999999981</v>
      </c>
      <c r="F63" s="26" t="str">
        <f t="shared" si="1"/>
        <v>Grand Total</v>
      </c>
      <c r="G63" s="26" t="str">
        <f t="shared" si="2"/>
        <v/>
      </c>
      <c r="H63" s="26">
        <f t="shared" si="3"/>
        <v>11997</v>
      </c>
      <c r="J63" s="29" t="s">
        <v>2529</v>
      </c>
      <c r="K63" s="29"/>
      <c r="L63" s="31">
        <v>649019.79999999981</v>
      </c>
    </row>
    <row r="64" spans="1:12">
      <c r="F64" s="26" t="str">
        <f t="shared" si="1"/>
        <v/>
      </c>
      <c r="G64" s="26" t="str">
        <f t="shared" si="2"/>
        <v/>
      </c>
      <c r="H64" s="26" t="str">
        <f t="shared" si="3"/>
        <v/>
      </c>
    </row>
  </sheetData>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24EE-5160-4B42-9F2A-E62EBBA82384}">
  <dimension ref="A1:B19"/>
  <sheetViews>
    <sheetView workbookViewId="0">
      <selection activeCell="B6" sqref="B6"/>
    </sheetView>
  </sheetViews>
  <sheetFormatPr defaultRowHeight="14"/>
  <cols>
    <col min="1" max="1" width="12.9140625" bestFit="1" customWidth="1"/>
    <col min="2" max="3" width="13.4140625" bestFit="1" customWidth="1"/>
  </cols>
  <sheetData>
    <row r="1" spans="1:2">
      <c r="A1" s="7" t="s">
        <v>2550</v>
      </c>
      <c r="B1" s="7"/>
    </row>
    <row r="3" spans="1:2">
      <c r="A3" s="6" t="s">
        <v>2528</v>
      </c>
      <c r="B3" t="s">
        <v>2518</v>
      </c>
    </row>
    <row r="4" spans="1:2">
      <c r="A4" s="8">
        <v>0</v>
      </c>
      <c r="B4" s="5">
        <v>175</v>
      </c>
    </row>
    <row r="5" spans="1:2">
      <c r="A5" s="8">
        <v>1</v>
      </c>
      <c r="B5" s="5">
        <v>888</v>
      </c>
    </row>
    <row r="6" spans="1:2">
      <c r="A6" s="8">
        <v>2</v>
      </c>
      <c r="B6" s="5">
        <v>538</v>
      </c>
    </row>
    <row r="7" spans="1:2">
      <c r="A7" s="8">
        <v>3</v>
      </c>
      <c r="B7" s="5">
        <v>344</v>
      </c>
    </row>
    <row r="8" spans="1:2">
      <c r="A8" s="8">
        <v>4</v>
      </c>
      <c r="B8" s="5">
        <v>200</v>
      </c>
    </row>
    <row r="9" spans="1:2">
      <c r="A9" s="8">
        <v>5</v>
      </c>
      <c r="B9" s="5">
        <v>94</v>
      </c>
    </row>
    <row r="10" spans="1:2">
      <c r="A10" s="8">
        <v>6</v>
      </c>
      <c r="B10" s="5">
        <v>51</v>
      </c>
    </row>
    <row r="11" spans="1:2">
      <c r="A11" s="8">
        <v>7</v>
      </c>
      <c r="B11" s="5">
        <v>32</v>
      </c>
    </row>
    <row r="12" spans="1:2">
      <c r="A12" s="8">
        <v>8</v>
      </c>
      <c r="B12" s="5">
        <v>23</v>
      </c>
    </row>
    <row r="13" spans="1:2">
      <c r="A13" s="8">
        <v>9</v>
      </c>
      <c r="B13" s="5">
        <v>9</v>
      </c>
    </row>
    <row r="14" spans="1:2">
      <c r="A14" s="8">
        <v>10</v>
      </c>
      <c r="B14" s="5">
        <v>8</v>
      </c>
    </row>
    <row r="15" spans="1:2">
      <c r="A15" s="8">
        <v>11</v>
      </c>
      <c r="B15" s="5">
        <v>11</v>
      </c>
    </row>
    <row r="16" spans="1:2">
      <c r="A16" s="8">
        <v>12</v>
      </c>
      <c r="B16" s="5">
        <v>4</v>
      </c>
    </row>
    <row r="17" spans="1:2">
      <c r="A17" s="8">
        <v>13</v>
      </c>
      <c r="B17" s="5">
        <v>10</v>
      </c>
    </row>
    <row r="18" spans="1:2">
      <c r="A18" s="8">
        <v>14</v>
      </c>
      <c r="B18" s="5">
        <v>13</v>
      </c>
    </row>
    <row r="19" spans="1:2">
      <c r="A19" s="8" t="s">
        <v>2529</v>
      </c>
      <c r="B19" s="5">
        <v>2400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1552-920E-40D7-9909-172A7B5106D9}">
  <dimension ref="A1:G8"/>
  <sheetViews>
    <sheetView workbookViewId="0">
      <selection activeCell="B5" sqref="B5"/>
    </sheetView>
  </sheetViews>
  <sheetFormatPr defaultRowHeight="14"/>
  <cols>
    <col min="1" max="1" width="15.4140625" bestFit="1" customWidth="1"/>
    <col min="2" max="2" width="15.58203125" bestFit="1" customWidth="1"/>
    <col min="3" max="4" width="3.75" bestFit="1" customWidth="1"/>
    <col min="5" max="5" width="4.75" bestFit="1" customWidth="1"/>
    <col min="6" max="6" width="3.75" bestFit="1" customWidth="1"/>
    <col min="7" max="7" width="10.83203125" bestFit="1" customWidth="1"/>
    <col min="8" max="32" width="6.4140625" bestFit="1" customWidth="1"/>
    <col min="33" max="60" width="6.5" bestFit="1" customWidth="1"/>
    <col min="61" max="89" width="6.4140625" bestFit="1" customWidth="1"/>
    <col min="90" max="90" width="10.83203125" bestFit="1" customWidth="1"/>
    <col min="91" max="91" width="11.33203125" bestFit="1" customWidth="1"/>
    <col min="92" max="92" width="8.1640625" bestFit="1" customWidth="1"/>
    <col min="93" max="93" width="11.33203125" bestFit="1" customWidth="1"/>
    <col min="94" max="94" width="8.1640625" bestFit="1" customWidth="1"/>
    <col min="95" max="95" width="11.33203125" bestFit="1" customWidth="1"/>
    <col min="96" max="96" width="8.1640625" bestFit="1" customWidth="1"/>
    <col min="97" max="97" width="11.33203125" bestFit="1" customWidth="1"/>
    <col min="98" max="98" width="8.1640625" bestFit="1" customWidth="1"/>
    <col min="99" max="99" width="11.33203125" bestFit="1" customWidth="1"/>
    <col min="100" max="100" width="8.1640625" bestFit="1" customWidth="1"/>
    <col min="101" max="101" width="11.33203125" bestFit="1" customWidth="1"/>
    <col min="102" max="102" width="8.1640625" bestFit="1" customWidth="1"/>
    <col min="103" max="103" width="11.33203125" bestFit="1" customWidth="1"/>
    <col min="104" max="104" width="8.1640625" bestFit="1" customWidth="1"/>
    <col min="105" max="105" width="11.33203125" bestFit="1" customWidth="1"/>
    <col min="106" max="106" width="8.1640625" bestFit="1" customWidth="1"/>
    <col min="107" max="107" width="11.33203125" bestFit="1" customWidth="1"/>
    <col min="108" max="108" width="8.1640625" bestFit="1" customWidth="1"/>
    <col min="109" max="109" width="11.33203125" bestFit="1" customWidth="1"/>
    <col min="110" max="110" width="8.1640625" bestFit="1" customWidth="1"/>
    <col min="111" max="111" width="11.33203125" bestFit="1" customWidth="1"/>
    <col min="112" max="112" width="8.1640625" bestFit="1" customWidth="1"/>
    <col min="113" max="113" width="11.33203125" bestFit="1" customWidth="1"/>
    <col min="114" max="114" width="8.1640625" bestFit="1" customWidth="1"/>
    <col min="115" max="115" width="11.33203125" bestFit="1" customWidth="1"/>
    <col min="116" max="116" width="8.1640625" bestFit="1" customWidth="1"/>
    <col min="117" max="117" width="11.33203125" bestFit="1" customWidth="1"/>
    <col min="118" max="118" width="8.1640625" bestFit="1" customWidth="1"/>
    <col min="119" max="119" width="11.33203125" bestFit="1" customWidth="1"/>
    <col min="120" max="120" width="8.08203125" bestFit="1" customWidth="1"/>
    <col min="121" max="121" width="11.25" bestFit="1" customWidth="1"/>
    <col min="122" max="122" width="8.08203125" bestFit="1" customWidth="1"/>
    <col min="123" max="123" width="11.25" bestFit="1" customWidth="1"/>
    <col min="124" max="124" width="8.08203125" bestFit="1" customWidth="1"/>
    <col min="125" max="125" width="11.25" bestFit="1" customWidth="1"/>
    <col min="126" max="126" width="8.08203125" bestFit="1" customWidth="1"/>
    <col min="127" max="127" width="11.25" bestFit="1" customWidth="1"/>
    <col min="128" max="128" width="8.08203125" bestFit="1" customWidth="1"/>
    <col min="129" max="129" width="11.25" bestFit="1" customWidth="1"/>
    <col min="130" max="130" width="8.08203125" bestFit="1" customWidth="1"/>
    <col min="131" max="131" width="11.25" bestFit="1" customWidth="1"/>
    <col min="132" max="132" width="8.08203125" bestFit="1" customWidth="1"/>
    <col min="133" max="133" width="11.25" bestFit="1" customWidth="1"/>
    <col min="134" max="134" width="8.08203125" bestFit="1" customWidth="1"/>
    <col min="135" max="135" width="11.25" bestFit="1" customWidth="1"/>
    <col min="136" max="136" width="8.08203125" bestFit="1" customWidth="1"/>
    <col min="137" max="137" width="11.25" bestFit="1" customWidth="1"/>
    <col min="138" max="138" width="8.08203125" bestFit="1" customWidth="1"/>
    <col min="139" max="139" width="11.25" bestFit="1" customWidth="1"/>
    <col min="140" max="140" width="8.08203125" bestFit="1" customWidth="1"/>
    <col min="141" max="141" width="11.25" bestFit="1" customWidth="1"/>
    <col min="142" max="142" width="8.08203125" bestFit="1" customWidth="1"/>
    <col min="143" max="143" width="11.25" bestFit="1" customWidth="1"/>
    <col min="144" max="144" width="8.08203125" bestFit="1" customWidth="1"/>
    <col min="145" max="145" width="11.25" bestFit="1" customWidth="1"/>
    <col min="146" max="146" width="8.08203125" bestFit="1" customWidth="1"/>
    <col min="147" max="147" width="11.25" bestFit="1" customWidth="1"/>
    <col min="148" max="148" width="8.08203125" bestFit="1" customWidth="1"/>
    <col min="149" max="149" width="11.25" bestFit="1" customWidth="1"/>
    <col min="150" max="150" width="8.08203125" bestFit="1" customWidth="1"/>
    <col min="151" max="151" width="11.25" bestFit="1" customWidth="1"/>
    <col min="152" max="152" width="8.08203125" bestFit="1" customWidth="1"/>
    <col min="153" max="153" width="11.25" bestFit="1" customWidth="1"/>
    <col min="154" max="154" width="8.08203125" bestFit="1" customWidth="1"/>
    <col min="155" max="155" width="11.25" bestFit="1" customWidth="1"/>
    <col min="156" max="156" width="8.08203125" bestFit="1" customWidth="1"/>
    <col min="157" max="157" width="11.25" bestFit="1" customWidth="1"/>
    <col min="158" max="158" width="8.08203125" bestFit="1" customWidth="1"/>
    <col min="159" max="159" width="11.25" bestFit="1" customWidth="1"/>
    <col min="160" max="160" width="8.08203125" bestFit="1" customWidth="1"/>
    <col min="161" max="161" width="11.25" bestFit="1" customWidth="1"/>
    <col min="162" max="162" width="8.08203125" bestFit="1" customWidth="1"/>
    <col min="163" max="163" width="11.25" bestFit="1" customWidth="1"/>
    <col min="164" max="164" width="8.08203125" bestFit="1" customWidth="1"/>
    <col min="165" max="165" width="11.25" bestFit="1" customWidth="1"/>
    <col min="166" max="166" width="8.08203125" bestFit="1" customWidth="1"/>
    <col min="167" max="167" width="11.25" bestFit="1" customWidth="1"/>
    <col min="168" max="168" width="8.08203125" bestFit="1" customWidth="1"/>
    <col min="169" max="169" width="11.25" bestFit="1" customWidth="1"/>
    <col min="170" max="170" width="8.08203125" bestFit="1" customWidth="1"/>
    <col min="171" max="171" width="11.25" bestFit="1" customWidth="1"/>
    <col min="172" max="172" width="8.08203125" bestFit="1" customWidth="1"/>
    <col min="173" max="173" width="11.25" bestFit="1" customWidth="1"/>
    <col min="174" max="174" width="8.08203125" bestFit="1" customWidth="1"/>
    <col min="175" max="175" width="11.25" bestFit="1" customWidth="1"/>
    <col min="176" max="176" width="8.08203125" bestFit="1" customWidth="1"/>
    <col min="177" max="177" width="11.25" bestFit="1" customWidth="1"/>
    <col min="178" max="178" width="10.83203125" bestFit="1" customWidth="1"/>
  </cols>
  <sheetData>
    <row r="1" spans="1:7">
      <c r="A1" s="7" t="s">
        <v>2549</v>
      </c>
      <c r="B1" t="s">
        <v>2548</v>
      </c>
    </row>
    <row r="3" spans="1:7">
      <c r="A3" s="6" t="s">
        <v>2539</v>
      </c>
      <c r="B3" s="6" t="s">
        <v>2530</v>
      </c>
    </row>
    <row r="4" spans="1:7">
      <c r="A4" s="6" t="s">
        <v>2528</v>
      </c>
      <c r="B4">
        <v>1</v>
      </c>
      <c r="C4">
        <v>2</v>
      </c>
      <c r="D4">
        <v>3</v>
      </c>
      <c r="E4">
        <v>4</v>
      </c>
      <c r="F4">
        <v>5</v>
      </c>
      <c r="G4" t="s">
        <v>2529</v>
      </c>
    </row>
    <row r="5" spans="1:7">
      <c r="A5" s="8" t="s">
        <v>2540</v>
      </c>
      <c r="B5" s="5">
        <v>7</v>
      </c>
      <c r="C5" s="5">
        <v>37</v>
      </c>
      <c r="D5" s="5">
        <v>150</v>
      </c>
      <c r="E5" s="5">
        <v>312</v>
      </c>
      <c r="F5" s="5">
        <v>224</v>
      </c>
      <c r="G5" s="5">
        <v>730</v>
      </c>
    </row>
    <row r="6" spans="1:7">
      <c r="A6" s="8" t="s">
        <v>2541</v>
      </c>
      <c r="B6" s="5">
        <v>8</v>
      </c>
      <c r="C6" s="5">
        <v>51</v>
      </c>
      <c r="D6" s="5">
        <v>182</v>
      </c>
      <c r="E6" s="5">
        <v>373</v>
      </c>
      <c r="F6" s="5">
        <v>247</v>
      </c>
      <c r="G6" s="5">
        <v>861</v>
      </c>
    </row>
    <row r="7" spans="1:7">
      <c r="A7" s="8" t="s">
        <v>2542</v>
      </c>
      <c r="B7" s="5">
        <v>6</v>
      </c>
      <c r="C7" s="5">
        <v>39</v>
      </c>
      <c r="D7" s="5">
        <v>163</v>
      </c>
      <c r="E7" s="5">
        <v>351</v>
      </c>
      <c r="F7" s="5">
        <v>250</v>
      </c>
      <c r="G7" s="5">
        <v>809</v>
      </c>
    </row>
    <row r="8" spans="1:7">
      <c r="A8" s="8" t="s">
        <v>2529</v>
      </c>
      <c r="B8" s="5">
        <v>21</v>
      </c>
      <c r="C8" s="5">
        <v>127</v>
      </c>
      <c r="D8" s="5">
        <v>495</v>
      </c>
      <c r="E8" s="5">
        <v>1036</v>
      </c>
      <c r="F8" s="5">
        <v>721</v>
      </c>
      <c r="G8" s="5">
        <v>2400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O1" activeCellId="1" sqref="I1:I1048576 O1:O1048576"/>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E3119-F6AC-43B8-9466-3BCBB739C9E1}">
  <sheetPr>
    <tabColor theme="8" tint="-0.249977111117893"/>
  </sheetPr>
  <dimension ref="A1"/>
  <sheetViews>
    <sheetView tabSelected="1" zoomScale="74" zoomScaleNormal="74" workbookViewId="0">
      <selection activeCell="U17" sqref="U17"/>
    </sheetView>
  </sheetViews>
  <sheetFormatPr defaultRowHeight="14"/>
  <cols>
    <col min="1" max="1" width="5.25" customWidth="1"/>
    <col min="3" max="3" width="5.25" customWidth="1"/>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605F3-EC79-43D8-B9AE-5964C7D3DC98}">
  <dimension ref="A1:K25"/>
  <sheetViews>
    <sheetView topLeftCell="A14" zoomScaleNormal="100" workbookViewId="0">
      <selection activeCell="B13" sqref="B13"/>
    </sheetView>
  </sheetViews>
  <sheetFormatPr defaultRowHeight="14"/>
  <cols>
    <col min="1" max="1" width="12.9140625" bestFit="1" customWidth="1"/>
    <col min="2" max="2" width="14.5" bestFit="1" customWidth="1"/>
    <col min="3" max="3" width="14.08203125" bestFit="1" customWidth="1"/>
    <col min="4" max="4" width="23.58203125" bestFit="1" customWidth="1"/>
    <col min="5" max="5" width="14.5" bestFit="1" customWidth="1"/>
    <col min="9" max="9" width="11.08203125" customWidth="1"/>
  </cols>
  <sheetData>
    <row r="1" spans="1:11">
      <c r="A1" s="7" t="s">
        <v>2552</v>
      </c>
    </row>
    <row r="3" spans="1:11">
      <c r="A3" t="s">
        <v>2518</v>
      </c>
      <c r="B3" t="s">
        <v>2520</v>
      </c>
      <c r="C3" t="s">
        <v>2521</v>
      </c>
      <c r="D3" t="s">
        <v>2522</v>
      </c>
      <c r="E3" t="s">
        <v>2519</v>
      </c>
      <c r="G3" t="s">
        <v>2523</v>
      </c>
    </row>
    <row r="4" spans="1:11">
      <c r="A4" s="5">
        <v>2400</v>
      </c>
      <c r="B4" s="5">
        <v>649019.80000000144</v>
      </c>
      <c r="C4" s="5">
        <v>3.9620833333333332</v>
      </c>
      <c r="D4" s="5">
        <v>2.3424999999999998</v>
      </c>
      <c r="E4" s="5">
        <v>11997</v>
      </c>
      <c r="G4" t="s">
        <v>2524</v>
      </c>
      <c r="H4" t="s">
        <v>2525</v>
      </c>
      <c r="I4" t="s">
        <v>4</v>
      </c>
      <c r="J4" t="s">
        <v>2527</v>
      </c>
      <c r="K4" t="s">
        <v>2526</v>
      </c>
    </row>
    <row r="5" spans="1:11">
      <c r="G5" t="str">
        <f>TEXT(A4,"#,##")</f>
        <v>2,400</v>
      </c>
      <c r="H5" t="str">
        <f t="shared" ref="H5" si="0">TEXT(B4,"#,##")</f>
        <v>649,020</v>
      </c>
      <c r="I5" t="str">
        <f>TEXT(C4,"$#,##,.0k")</f>
        <v>$.0k</v>
      </c>
      <c r="J5" t="str">
        <f>TEXT(D4,"0.0")</f>
        <v>2.3</v>
      </c>
      <c r="K5" t="str">
        <f>TEXT(E4,"0.0")</f>
        <v>11997.0</v>
      </c>
    </row>
    <row r="9" spans="1:11">
      <c r="A9" s="7" t="s">
        <v>2551</v>
      </c>
    </row>
    <row r="11" spans="1:11">
      <c r="A11" s="6" t="s">
        <v>2528</v>
      </c>
      <c r="B11" t="s">
        <v>2519</v>
      </c>
      <c r="C11" t="s">
        <v>2520</v>
      </c>
    </row>
    <row r="12" spans="1:11">
      <c r="A12" s="8">
        <v>1</v>
      </c>
      <c r="B12" s="5">
        <v>546</v>
      </c>
      <c r="C12" s="9">
        <v>32413.300000000003</v>
      </c>
    </row>
    <row r="13" spans="1:11">
      <c r="A13" s="8">
        <v>2</v>
      </c>
      <c r="B13" s="5">
        <v>905</v>
      </c>
      <c r="C13" s="9">
        <v>49562.999999999993</v>
      </c>
    </row>
    <row r="14" spans="1:11">
      <c r="A14" s="8">
        <v>3</v>
      </c>
      <c r="B14" s="5">
        <v>796</v>
      </c>
      <c r="C14" s="9">
        <v>41700.400000000016</v>
      </c>
    </row>
    <row r="15" spans="1:11">
      <c r="A15" s="8">
        <v>4</v>
      </c>
      <c r="B15" s="5">
        <v>913</v>
      </c>
      <c r="C15" s="9">
        <v>46782.599999999984</v>
      </c>
    </row>
    <row r="16" spans="1:11">
      <c r="A16" s="8">
        <v>5</v>
      </c>
      <c r="B16" s="5">
        <v>844</v>
      </c>
      <c r="C16" s="9">
        <v>42676.100000000006</v>
      </c>
    </row>
    <row r="17" spans="1:3">
      <c r="A17" s="8">
        <v>6</v>
      </c>
      <c r="B17" s="5">
        <v>1202</v>
      </c>
      <c r="C17" s="9">
        <v>62910.7</v>
      </c>
    </row>
    <row r="18" spans="1:3">
      <c r="A18" s="8">
        <v>7</v>
      </c>
      <c r="B18" s="5">
        <v>935</v>
      </c>
      <c r="C18" s="9">
        <v>50332.200000000004</v>
      </c>
    </row>
    <row r="19" spans="1:3">
      <c r="A19" s="8">
        <v>8</v>
      </c>
      <c r="B19" s="5">
        <v>1128</v>
      </c>
      <c r="C19" s="9">
        <v>58760.599999999977</v>
      </c>
    </row>
    <row r="20" spans="1:3">
      <c r="A20" s="8">
        <v>9</v>
      </c>
      <c r="B20" s="5">
        <v>1007</v>
      </c>
      <c r="C20" s="9">
        <v>52017.299999999996</v>
      </c>
    </row>
    <row r="21" spans="1:3">
      <c r="A21" s="8">
        <v>10</v>
      </c>
      <c r="B21" s="5">
        <v>1128</v>
      </c>
      <c r="C21" s="9">
        <v>64915.700000000033</v>
      </c>
    </row>
    <row r="22" spans="1:3">
      <c r="A22" s="8">
        <v>11</v>
      </c>
      <c r="B22" s="5">
        <v>861</v>
      </c>
      <c r="C22" s="9">
        <v>45943.80000000001</v>
      </c>
    </row>
    <row r="23" spans="1:3">
      <c r="A23" s="8">
        <v>12</v>
      </c>
      <c r="B23" s="5">
        <v>944</v>
      </c>
      <c r="C23" s="9">
        <v>55077.900000000031</v>
      </c>
    </row>
    <row r="24" spans="1:3">
      <c r="A24" s="8">
        <v>13</v>
      </c>
      <c r="B24" s="5">
        <v>788</v>
      </c>
      <c r="C24" s="9">
        <v>45926.19999999999</v>
      </c>
    </row>
    <row r="25" spans="1:3">
      <c r="A25" s="8" t="s">
        <v>2529</v>
      </c>
      <c r="B25" s="5">
        <v>11997</v>
      </c>
      <c r="C25" s="9">
        <v>649019.79999999993</v>
      </c>
    </row>
  </sheetData>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Products by qty</vt:lpstr>
      <vt:lpstr>Order QTY</vt:lpstr>
      <vt:lpstr>popular products</vt:lpstr>
      <vt:lpstr>mapping</vt:lpstr>
      <vt:lpstr>Shipment</vt:lpstr>
      <vt:lpstr>Customer Satisfaction</vt:lpstr>
      <vt:lpstr>Data</vt:lpstr>
      <vt:lpstr>Dashboards</vt:lpstr>
      <vt:lpstr>pivots</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VISHNU DURGA M</cp:lastModifiedBy>
  <dcterms:created xsi:type="dcterms:W3CDTF">2025-06-13T02:42:26Z</dcterms:created>
  <dcterms:modified xsi:type="dcterms:W3CDTF">2026-03-12T11:09:45Z</dcterms:modified>
</cp:coreProperties>
</file>